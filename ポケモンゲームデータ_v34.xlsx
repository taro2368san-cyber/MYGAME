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アイテム一覧" sheetId="1" state="visible" r:id="rId3"/>
    <sheet name="ポケモンの道具" sheetId="2" state="visible" r:id="rId4"/>
    <sheet name="職" sheetId="3" state="visible" r:id="rId5"/>
    <sheet name="ポケモン" sheetId="4" state="visible" r:id="rId6"/>
    <sheet name="週イベント" sheetId="5" state="visible" r:id="rId7"/>
    <sheet name="エリア" sheetId="6" state="visible" r:id="rId8"/>
    <sheet name="調整値" sheetId="7" state="visible" r:id="rId9"/>
    <sheet name="文言" sheetId="8" state="visible" r:id="rId10"/>
    <sheet name="ジム" sheetId="9" state="visible" r:id="rId11"/>
    <sheet name="出現" sheetId="10" state="visible" r:id="rId12"/>
  </sheets>
  <definedNames>
    <definedName function="false" hidden="true" localSheetId="0" name="_xlnm._FilterDatabase" vbProcedure="false">アイテム一覧!$A$1:$E$37</definedName>
    <definedName function="false" hidden="true" localSheetId="9" name="_xlnm._FilterDatabase" vbProcedure="false">出現!$A$1:$H$245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<sst xmlns="http://schemas.openxmlformats.org/spreadsheetml/2006/main" count="4980" uniqueCount="1323">
  <si>
    <t xml:space="preserve">分類</t>
  </si>
  <si>
    <t xml:space="preserve">名前</t>
  </si>
  <si>
    <t xml:space="preserve">効果</t>
  </si>
  <si>
    <t xml:space="preserve">価格</t>
  </si>
  <si>
    <t xml:space="preserve">備考</t>
  </si>
  <si>
    <t xml:space="preserve">売れる</t>
  </si>
  <si>
    <t xml:space="preserve">売値</t>
  </si>
  <si>
    <t xml:space="preserve">店で買える</t>
  </si>
  <si>
    <t xml:space="preserve">移動</t>
  </si>
  <si>
    <t xml:space="preserve">自転車</t>
  </si>
  <si>
    <t xml:space="preserve">ルーレットが2個になる</t>
  </si>
  <si>
    <t xml:space="preserve">○</t>
  </si>
  <si>
    <t xml:space="preserve">マッハ自転車</t>
  </si>
  <si>
    <t xml:space="preserve">ルーレットが3個になる</t>
  </si>
  <si>
    <t xml:space="preserve">ロトム自転車</t>
  </si>
  <si>
    <t xml:space="preserve">ルーレットが4個になる</t>
  </si>
  <si>
    <t xml:space="preserve">ダート自転車</t>
  </si>
  <si>
    <t xml:space="preserve">一定期間、ルーレットが2〜4個になる</t>
  </si>
  <si>
    <r>
      <rPr>
        <sz val="11"/>
        <rFont val="Meiryo"/>
        <family val="3"/>
        <charset val="128"/>
      </rPr>
      <t xml:space="preserve">0</t>
    </r>
    <r>
      <rPr>
        <sz val="11"/>
        <rFont val="Noto Sans CJK SC"/>
        <family val="2"/>
      </rPr>
      <t xml:space="preserve">のくつ</t>
    </r>
  </si>
  <si>
    <t xml:space="preserve">必ず0マス進む（その場に留まる）</t>
  </si>
  <si>
    <r>
      <rPr>
        <sz val="11"/>
        <rFont val="Meiryo"/>
        <family val="3"/>
        <charset val="128"/>
      </rPr>
      <t xml:space="preserve">1</t>
    </r>
    <r>
      <rPr>
        <sz val="11"/>
        <rFont val="Noto Sans CJK SC"/>
        <family val="2"/>
      </rPr>
      <t xml:space="preserve">のくつ</t>
    </r>
  </si>
  <si>
    <t xml:space="preserve">必ず1マス進む</t>
  </si>
  <si>
    <r>
      <rPr>
        <sz val="11"/>
        <rFont val="Meiryo"/>
        <family val="3"/>
        <charset val="128"/>
      </rPr>
      <t xml:space="preserve">2</t>
    </r>
    <r>
      <rPr>
        <sz val="11"/>
        <rFont val="Noto Sans CJK SC"/>
        <family val="2"/>
      </rPr>
      <t xml:space="preserve">のくつ</t>
    </r>
  </si>
  <si>
    <t xml:space="preserve">必ず2マス進む</t>
  </si>
  <si>
    <r>
      <rPr>
        <sz val="11"/>
        <rFont val="Meiryo"/>
        <family val="3"/>
        <charset val="128"/>
      </rPr>
      <t xml:space="preserve">3</t>
    </r>
    <r>
      <rPr>
        <sz val="11"/>
        <rFont val="Noto Sans CJK SC"/>
        <family val="2"/>
      </rPr>
      <t xml:space="preserve">のくつ</t>
    </r>
  </si>
  <si>
    <t xml:space="preserve">必ず3マス進む</t>
  </si>
  <si>
    <r>
      <rPr>
        <sz val="11"/>
        <rFont val="Meiryo"/>
        <family val="3"/>
        <charset val="128"/>
      </rPr>
      <t xml:space="preserve">4</t>
    </r>
    <r>
      <rPr>
        <sz val="11"/>
        <rFont val="Noto Sans CJK SC"/>
        <family val="2"/>
      </rPr>
      <t xml:space="preserve">のくつ</t>
    </r>
  </si>
  <si>
    <t xml:space="preserve">必ず4マス進む</t>
  </si>
  <si>
    <r>
      <rPr>
        <sz val="11"/>
        <rFont val="Meiryo"/>
        <family val="3"/>
        <charset val="128"/>
      </rPr>
      <t xml:space="preserve">5</t>
    </r>
    <r>
      <rPr>
        <sz val="11"/>
        <rFont val="Noto Sans CJK SC"/>
        <family val="2"/>
      </rPr>
      <t xml:space="preserve">のくつ</t>
    </r>
  </si>
  <si>
    <t xml:space="preserve">必ず5マス進む</t>
  </si>
  <si>
    <r>
      <rPr>
        <sz val="11"/>
        <rFont val="Meiryo"/>
        <family val="3"/>
        <charset val="128"/>
      </rPr>
      <t xml:space="preserve">6</t>
    </r>
    <r>
      <rPr>
        <sz val="11"/>
        <rFont val="Noto Sans CJK SC"/>
        <family val="2"/>
      </rPr>
      <t xml:space="preserve">のくつ</t>
    </r>
  </si>
  <si>
    <t xml:space="preserve">必ず6マス進む</t>
  </si>
  <si>
    <t xml:space="preserve">マルチなくつ</t>
  </si>
  <si>
    <r>
      <rPr>
        <sz val="11"/>
        <rFont val="Meiryo"/>
        <family val="3"/>
        <charset val="128"/>
      </rPr>
      <t xml:space="preserve">0</t>
    </r>
    <r>
      <rPr>
        <sz val="11"/>
        <rFont val="Noto Sans CJK SC"/>
        <family val="2"/>
      </rPr>
      <t xml:space="preserve">〜</t>
    </r>
    <r>
      <rPr>
        <sz val="11"/>
        <rFont val="Meiryo"/>
        <family val="3"/>
        <charset val="128"/>
      </rPr>
      <t xml:space="preserve">6</t>
    </r>
    <r>
      <rPr>
        <sz val="11"/>
        <rFont val="Noto Sans CJK SC"/>
        <family val="2"/>
      </rPr>
      <t xml:space="preserve">の中から好きな数だけ進める</t>
    </r>
  </si>
  <si>
    <t xml:space="preserve">アーマーガーチケット</t>
  </si>
  <si>
    <t xml:space="preserve">訪れたことのあるいずれかのポケモンセンターへ飛べる</t>
  </si>
  <si>
    <t xml:space="preserve">スペシャルアーマーガーチケット</t>
  </si>
  <si>
    <t xml:space="preserve">自分のファンマスへ飛べる</t>
  </si>
  <si>
    <t xml:space="preserve">あなぬけひも</t>
  </si>
  <si>
    <t xml:space="preserve">洞窟・建物の中から脱出する</t>
  </si>
  <si>
    <t xml:space="preserve">妨害</t>
  </si>
  <si>
    <t xml:space="preserve">キャッチャ</t>
  </si>
  <si>
    <t xml:space="preserve">指定した相手のアイテムか持たせていないポケモンの道具を1個奪う</t>
  </si>
  <si>
    <t xml:space="preserve">ワナ</t>
  </si>
  <si>
    <t xml:space="preserve">自分のいるマスにワナを仕掛ける</t>
  </si>
  <si>
    <t xml:space="preserve">ワナ：踏んだプレイヤーの手持ちポケモンは全員、
最大HPの25％のダメージをくらう</t>
  </si>
  <si>
    <t xml:space="preserve">スリーパーのこいん</t>
  </si>
  <si>
    <t xml:space="preserve">同じエリア内の他プレイヤーをさいみん状態にする</t>
  </si>
  <si>
    <t xml:space="preserve">さいみん：1ターン休みになる</t>
  </si>
  <si>
    <t xml:space="preserve">のろいのふだ</t>
  </si>
  <si>
    <t xml:space="preserve">同じエリア内の他プレイヤーをのろい状態にする</t>
  </si>
  <si>
    <t xml:space="preserve">のろい：３～５週の間ポケモンセンターに入れない、シオンタウンで解除可能</t>
  </si>
  <si>
    <t xml:space="preserve">アマイ三ツ</t>
  </si>
  <si>
    <t xml:space="preserve">自分のいるマスにカビゴンを出し、一定期間そこを通れなくする</t>
  </si>
  <si>
    <t xml:space="preserve">カビゴン2～3ターンの間そのマスを封鎖し、通過できなくする</t>
  </si>
  <si>
    <t xml:space="preserve">お助け</t>
  </si>
  <si>
    <t xml:space="preserve">みがわりにんぎょう</t>
  </si>
  <si>
    <t xml:space="preserve">一度だけプレイヤーを対象とした罠、デバフを無効化する</t>
  </si>
  <si>
    <t xml:space="preserve">ゴールドスプレー</t>
  </si>
  <si>
    <t xml:space="preserve">3週間、野生ポケモンマスで戦闘がおこらない</t>
  </si>
  <si>
    <t xml:space="preserve">ポケモンのふえ</t>
  </si>
  <si>
    <t xml:space="preserve">フィールド上のカビゴンを除去する</t>
  </si>
  <si>
    <t xml:space="preserve">かごのみ</t>
  </si>
  <si>
    <t xml:space="preserve">持っていると、プレイヤーがさいみん状態にされても、手持ちのポケモンがねむり状態になっても起こしてもらえる</t>
  </si>
  <si>
    <t xml:space="preserve">アマいおこう</t>
  </si>
  <si>
    <t xml:space="preserve">出現する野生ポケモンのレベルが少し高い状態で出てくる</t>
  </si>
  <si>
    <t xml:space="preserve">回復</t>
  </si>
  <si>
    <t xml:space="preserve">モーモーミルク</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</si>
  <si>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t>
    </r>
    <r>
      <rPr>
        <sz val="11"/>
        <rFont val="Meiryo"/>
        <family val="3"/>
        <charset val="128"/>
      </rPr>
      <t xml:space="preserve">1/3</t>
    </r>
    <r>
      <rPr>
        <sz val="11"/>
        <rFont val="Noto Sans CJK SC"/>
        <family val="2"/>
      </rPr>
      <t xml:space="preserve">だけ回復する</t>
    </r>
  </si>
  <si>
    <t xml:space="preserve">キズくすり</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</si>
  <si>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の半分だけ回復する</t>
    </r>
  </si>
  <si>
    <t xml:space="preserve">マンタンのくすり</t>
  </si>
  <si>
    <r>
      <rPr>
        <sz val="11"/>
        <rFont val="Meiryo"/>
        <family val="3"/>
        <charset val="128"/>
      </rPr>
      <t xml:space="preserve">HP</t>
    </r>
    <r>
      <rPr>
        <sz val="11"/>
        <rFont val="Noto Sans CJK SC"/>
        <family val="2"/>
      </rPr>
      <t xml:space="preserve">を全回復する</t>
    </r>
  </si>
  <si>
    <t xml:space="preserve">なんでもなおし</t>
  </si>
  <si>
    <t xml:space="preserve">ポケモンの毒・マヒ・やけど・ねむりなどの状態異常を治す</t>
  </si>
  <si>
    <t xml:space="preserve">おふだ</t>
  </si>
  <si>
    <t xml:space="preserve">のろいを解除できる</t>
  </si>
  <si>
    <t xml:space="preserve">げんきのかたまり</t>
  </si>
  <si>
    <t xml:space="preserve">戦闘で倒れてもその場で復活できる</t>
  </si>
  <si>
    <t xml:space="preserve">非売品。価格は売値の基準。</t>
  </si>
  <si>
    <t xml:space="preserve">×</t>
  </si>
  <si>
    <t xml:space="preserve">その他</t>
  </si>
  <si>
    <t xml:space="preserve">カギ</t>
  </si>
  <si>
    <t xml:space="preserve">カギのかかった宝箱を1回だけ開けられる</t>
  </si>
  <si>
    <t xml:space="preserve">きんのたま</t>
  </si>
  <si>
    <t xml:space="preserve">使用効果はなく、高値で売れる貴重品</t>
  </si>
  <si>
    <t xml:space="preserve">非売品。売ると5,000円になる</t>
  </si>
  <si>
    <t xml:space="preserve">バトルサーチャー</t>
  </si>
  <si>
    <t xml:space="preserve">他プレイヤーのファンに使うと、ファンを自分のものにできる</t>
  </si>
  <si>
    <t xml:space="preserve">捕獲</t>
  </si>
  <si>
    <t xml:space="preserve">へんそうセット</t>
  </si>
  <si>
    <r>
      <rPr>
        <sz val="11"/>
        <color rgb="FF000000"/>
        <rFont val="Meiryo"/>
        <family val="3"/>
        <charset val="128"/>
      </rPr>
      <t xml:space="preserve">1</t>
    </r>
    <r>
      <rPr>
        <sz val="11"/>
        <color rgb="FF000000"/>
        <rFont val="Noto Sans CJK SC"/>
        <family val="2"/>
      </rPr>
      <t xml:space="preserve">週だけ他のキャラクターに変装できる</t>
    </r>
  </si>
  <si>
    <t xml:space="preserve">不思議なチケット</t>
  </si>
  <si>
    <t xml:space="preserve">不思議な島への乗船券</t>
  </si>
  <si>
    <t xml:space="preserve">以下の島に行ける
デオキシス:6%
ラティオス:15%
ラティアス:15%
ルギア:2%
ホウオウ:2%
ライコウ:15%
スイクン:15%
エンテイ:15%
ミュウ:15%
</t>
  </si>
  <si>
    <t xml:space="preserve">謎のチケット</t>
  </si>
  <si>
    <t xml:space="preserve">他の地方の島（１～３）に行ける
最下位のプレイヤーが3~5週間持つと不思議なチケットになる</t>
  </si>
  <si>
    <t xml:space="preserve">不思議なチケットへの変化にかかる時間は３～５週のランダム.以下の島に行ける
ジョウトのどこか：30%
ホウエンのどこか：30%
シンオウのどこか：30%
ラティオス:2%
ラティアス:2%
ライコウ:1%
スイクン:1%
エンテイ:1%
ファイア：1%
サンダー：1%
フリーザー：1%</t>
  </si>
  <si>
    <t xml:space="preserve">ポケベル</t>
  </si>
  <si>
    <t xml:space="preserve">使うとランダムで4人候補が出てきてその中で一人会える</t>
  </si>
  <si>
    <r>
      <rPr>
        <sz val="11"/>
        <color theme="1"/>
        <rFont val="ＭＳ Ｐゴシック"/>
        <family val="2"/>
        <charset val="1"/>
      </rPr>
      <t xml:space="preserve">1.</t>
    </r>
    <r>
      <rPr>
        <sz val="11"/>
        <color theme="1"/>
        <rFont val="Noto Sans CJK SC"/>
        <family val="2"/>
      </rPr>
      <t xml:space="preserve">レアアイテム系
オーバ：電熱ブースター
ミカン：メタルプロテクター
イブキ：おうじゃのうろこ
サカキ：謎のチケット
</t>
    </r>
    <r>
      <rPr>
        <sz val="11"/>
        <color theme="1"/>
        <rFont val="ＭＳ Ｐゴシック"/>
        <family val="2"/>
        <charset val="1"/>
      </rPr>
      <t xml:space="preserve">2.</t>
    </r>
    <r>
      <rPr>
        <sz val="11"/>
        <color theme="1"/>
        <rFont val="Noto Sans CJK SC"/>
        <family val="2"/>
      </rPr>
      <t xml:space="preserve">バトル系
キクノ：ヒポポタス
オーバ：デルビル
デンジ：コリンク
ゲン：リオル
アイリス：モノズ
ダイゴ：ダンバル
シロナ：フカマル
ゲンジ：タツベイ
ダンテ：ドラメシヤ
</t>
    </r>
    <r>
      <rPr>
        <sz val="11"/>
        <color theme="1"/>
        <rFont val="ＭＳ Ｐゴシック"/>
        <family val="2"/>
        <charset val="1"/>
      </rPr>
      <t xml:space="preserve">3.</t>
    </r>
    <r>
      <rPr>
        <sz val="11"/>
        <color theme="1"/>
        <rFont val="Noto Sans CJK SC"/>
        <family val="2"/>
      </rPr>
      <t xml:space="preserve">その他
ナナカマド：図鑑</t>
    </r>
    <r>
      <rPr>
        <sz val="11"/>
        <color theme="1"/>
        <rFont val="ＭＳ Ｐゴシック"/>
        <family val="2"/>
        <charset val="1"/>
      </rPr>
      <t xml:space="preserve">100</t>
    </r>
    <r>
      <rPr>
        <sz val="11"/>
        <color theme="1"/>
        <rFont val="Noto Sans CJK SC"/>
        <family val="2"/>
      </rPr>
      <t xml:space="preserve">匹でけんきゅういんになれる
ミクリ：バッジ</t>
    </r>
    <r>
      <rPr>
        <sz val="11"/>
        <color theme="1"/>
        <rFont val="ＭＳ Ｐゴシック"/>
        <family val="2"/>
        <charset val="1"/>
      </rPr>
      <t xml:space="preserve">8</t>
    </r>
    <r>
      <rPr>
        <sz val="11"/>
        <color theme="1"/>
        <rFont val="Noto Sans CJK SC"/>
        <family val="2"/>
      </rPr>
      <t xml:space="preserve">個所有状態でからておう、サイキッカー、エリートトレーナになれる</t>
    </r>
  </si>
  <si>
    <t xml:space="preserve">グラードンのふえ</t>
  </si>
  <si>
    <r>
      <rPr>
        <sz val="11"/>
        <color rgb="FF000000"/>
        <rFont val="ＭＳ Ｐゴシック"/>
        <family val="2"/>
        <charset val="1"/>
      </rPr>
      <t xml:space="preserve">3</t>
    </r>
    <r>
      <rPr>
        <sz val="11"/>
        <color rgb="FF000000"/>
        <rFont val="Noto Sans CJK SC"/>
        <family val="2"/>
      </rPr>
      <t xml:space="preserve">週間、すべての戦闘が晴れ状態になる</t>
    </r>
  </si>
  <si>
    <t xml:space="preserve">カイオーガのふえ</t>
  </si>
  <si>
    <r>
      <rPr>
        <sz val="11"/>
        <color rgb="FF000000"/>
        <rFont val="ＭＳ Ｐゴシック"/>
        <family val="2"/>
        <charset val="1"/>
      </rPr>
      <t xml:space="preserve">3</t>
    </r>
    <r>
      <rPr>
        <sz val="11"/>
        <color rgb="FF000000"/>
        <rFont val="Noto Sans CJK SC"/>
        <family val="2"/>
      </rPr>
      <t xml:space="preserve">週間、すべての戦闘が雨状態になる</t>
    </r>
  </si>
  <si>
    <t xml:space="preserve">レックウザのふえ</t>
  </si>
  <si>
    <r>
      <rPr>
        <sz val="11"/>
        <color rgb="FF000000"/>
        <rFont val="ＭＳ Ｐゴシック"/>
        <family val="2"/>
        <charset val="1"/>
      </rPr>
      <t xml:space="preserve">3</t>
    </r>
    <r>
      <rPr>
        <sz val="11"/>
        <color rgb="FF000000"/>
        <rFont val="Noto Sans CJK SC"/>
        <family val="2"/>
      </rPr>
      <t xml:space="preserve">週間、すべての戦闘が砂あらし状態になる</t>
    </r>
  </si>
  <si>
    <t xml:space="preserve">非売品。価格は売値の基準。すなあらし：闘ポケモン以外は毎ターン最大HPの1/10のダメージを追う</t>
  </si>
  <si>
    <t xml:space="preserve">金の入れ歯</t>
  </si>
  <si>
    <t xml:space="preserve">サファリゾーンの園長に渡すと、職業「だいすきくらぶ」を選択できるようになる</t>
  </si>
  <si>
    <t xml:space="preserve">入手方法は未記入</t>
  </si>
  <si>
    <t xml:space="preserve">進化アイテム</t>
  </si>
  <si>
    <t xml:space="preserve">ほのおのいし</t>
  </si>
  <si>
    <t xml:space="preserve">タマムシデパートで買える</t>
  </si>
  <si>
    <t xml:space="preserve">みずのいし</t>
  </si>
  <si>
    <t xml:space="preserve">かみなりのいし</t>
  </si>
  <si>
    <t xml:space="preserve">リーフのいし</t>
  </si>
  <si>
    <t xml:space="preserve">こおりのいし</t>
  </si>
  <si>
    <t xml:space="preserve">たいようのいし</t>
  </si>
  <si>
    <t xml:space="preserve">つきのいし</t>
  </si>
  <si>
    <t xml:space="preserve">メタルプロテクター</t>
  </si>
  <si>
    <t xml:space="preserve">おうじゃのうろこ</t>
  </si>
  <si>
    <t xml:space="preserve">電熱ブースター</t>
  </si>
  <si>
    <t xml:space="preserve">アップグレードパッチ</t>
  </si>
  <si>
    <t xml:space="preserve">ポリゴン、ポリゴンツーを進化させる</t>
  </si>
  <si>
    <t xml:space="preserve">モンスターボール</t>
  </si>
  <si>
    <t xml:space="preserve">捕獲難度が30以下なら捕まえられる</t>
  </si>
  <si>
    <t xml:space="preserve">ショップ、モンスターボールマス、勝利報酬で入手。開始時に3個</t>
  </si>
  <si>
    <t xml:space="preserve">スーパーボール</t>
  </si>
  <si>
    <t xml:space="preserve">捕獲難度が45以下なら捕まえられる</t>
  </si>
  <si>
    <t xml:space="preserve">ショップ、モンスターボールマス、勝利報酬で入手</t>
  </si>
  <si>
    <t xml:space="preserve">ハイパーボール</t>
  </si>
  <si>
    <t xml:space="preserve">捕獲難度が60以下なら捕まえられる</t>
  </si>
  <si>
    <t xml:space="preserve">ショップ（タマムシデパート）、鍵付きボールマスで入手</t>
  </si>
  <si>
    <t xml:space="preserve">マスターボール</t>
  </si>
  <si>
    <t xml:space="preserve">必ず捕まえられる</t>
  </si>
  <si>
    <t xml:space="preserve">非売品。入手方法は未定</t>
  </si>
  <si>
    <t xml:space="preserve">やけどなおし</t>
  </si>
  <si>
    <t xml:space="preserve">ポケモンのやけどを治す</t>
  </si>
  <si>
    <t xml:space="preserve">どくけし</t>
  </si>
  <si>
    <t xml:space="preserve">ポケモンのどくを治す</t>
  </si>
  <si>
    <t xml:space="preserve">こだわりハチマキ</t>
  </si>
  <si>
    <t xml:space="preserve">特殊攻撃が選べなくなる代わりに物理1.5倍</t>
  </si>
  <si>
    <t xml:space="preserve">こだわりメガネ</t>
  </si>
  <si>
    <t xml:space="preserve">こうげきが選べなくなるかわりに特殊1.5倍</t>
  </si>
  <si>
    <t xml:space="preserve">いのちのたま</t>
  </si>
  <si>
    <t xml:space="preserve">威力アップ＋反動ダメージ</t>
  </si>
  <si>
    <t xml:space="preserve">とつげきチョッキ</t>
  </si>
  <si>
    <t xml:space="preserve">ぼうぎょ・とくぼうが1.3倍。かわりに、持たせたポケモンの攻撃に追加効果が発生しない</t>
  </si>
  <si>
    <t xml:space="preserve">しんかのきせき</t>
  </si>
  <si>
    <t xml:space="preserve">未進化なら耐久アップ</t>
  </si>
  <si>
    <t xml:space="preserve">きあいのタスキ</t>
  </si>
  <si>
    <r>
      <rPr>
        <sz val="11"/>
        <color theme="1"/>
        <rFont val="ＭＳ Ｐゴシック"/>
        <family val="2"/>
        <charset val="1"/>
      </rPr>
      <t xml:space="preserve">HP</t>
    </r>
    <r>
      <rPr>
        <sz val="11"/>
        <color theme="1"/>
        <rFont val="Noto Sans CJK SC"/>
        <family val="2"/>
      </rPr>
      <t xml:space="preserve">満タン時一撃で倒されても</t>
    </r>
    <r>
      <rPr>
        <sz val="11"/>
        <color theme="1"/>
        <rFont val="ＭＳ Ｐゴシック"/>
        <family val="2"/>
        <charset val="1"/>
      </rPr>
      <t xml:space="preserve">HP1</t>
    </r>
    <r>
      <rPr>
        <sz val="11"/>
        <color theme="1"/>
        <rFont val="Noto Sans CJK SC"/>
        <family val="2"/>
      </rPr>
      <t xml:space="preserve">で耐える</t>
    </r>
  </si>
  <si>
    <t xml:space="preserve">たべのこし</t>
  </si>
  <si>
    <t xml:space="preserve">毎ターンの終了時、少しずつ回復</t>
  </si>
  <si>
    <t xml:space="preserve">オボンのみ</t>
  </si>
  <si>
    <r>
      <rPr>
        <sz val="11"/>
        <color theme="1"/>
        <rFont val="ＭＳ Ｐゴシック"/>
        <family val="2"/>
        <charset val="1"/>
      </rPr>
      <t xml:space="preserve">HP</t>
    </r>
    <r>
      <rPr>
        <sz val="11"/>
        <color theme="1"/>
        <rFont val="Noto Sans CJK SC"/>
        <family val="2"/>
      </rPr>
      <t xml:space="preserve">が半分を切ると自動回復</t>
    </r>
  </si>
  <si>
    <t xml:space="preserve">ゴツゴツメット</t>
  </si>
  <si>
    <t xml:space="preserve">接触攻撃を受けてガードに失敗したとき、相手に相手の最大HPの1/6のダメージを与える</t>
  </si>
  <si>
    <t xml:space="preserve">弱点保険</t>
  </si>
  <si>
    <t xml:space="preserve">弱点の攻撃を受けたとき、こうげきととくこうが2段階上がる（1回で消費）</t>
  </si>
  <si>
    <t xml:space="preserve">こうこうのしっぽ</t>
  </si>
  <si>
    <t xml:space="preserve">後攻になりやすい</t>
  </si>
  <si>
    <t xml:space="preserve">せんせいのツメ</t>
  </si>
  <si>
    <t xml:space="preserve">先制になりやすい</t>
  </si>
  <si>
    <t xml:space="preserve">ひかりのこな</t>
  </si>
  <si>
    <t xml:space="preserve">相手の命中率を下げる</t>
  </si>
  <si>
    <t xml:space="preserve">しろいハーブ</t>
  </si>
  <si>
    <t xml:space="preserve">能力ランクが下がったとき、元に戻す（1回で消費）</t>
  </si>
  <si>
    <t xml:space="preserve">レッドカード</t>
  </si>
  <si>
    <t xml:space="preserve">攻撃してきた相手を強制交代</t>
  </si>
  <si>
    <t xml:space="preserve">フルバトルのみ</t>
  </si>
  <si>
    <t xml:space="preserve">きれいなぬけがら</t>
  </si>
  <si>
    <t xml:space="preserve">必ず逃げられる</t>
  </si>
  <si>
    <t xml:space="preserve">ふうせん</t>
  </si>
  <si>
    <t xml:space="preserve">闘の技を1回無効化</t>
  </si>
  <si>
    <t xml:space="preserve">おまもりこばん</t>
  </si>
  <si>
    <t xml:space="preserve">戦闘後のお金が倍</t>
  </si>
  <si>
    <t xml:space="preserve">ふといホネ</t>
  </si>
  <si>
    <t xml:space="preserve">特定のポケモン専用の強化</t>
  </si>
  <si>
    <t xml:space="preserve">でんきだま</t>
  </si>
  <si>
    <t xml:space="preserve">ピカチュウの攻撃と特攻を1.5倍</t>
  </si>
  <si>
    <t xml:space="preserve">脱出ボタン</t>
  </si>
  <si>
    <t xml:space="preserve">ダメージを受けると手持ちのポケモンと交換</t>
  </si>
  <si>
    <t xml:space="preserve">ピントレンズ</t>
  </si>
  <si>
    <t xml:space="preserve">急所に当たりやすくなる（急所の判定は内部の確率で自動で行う）</t>
  </si>
  <si>
    <t xml:space="preserve">変わらずの石</t>
  </si>
  <si>
    <t xml:space="preserve">ポケモンが進化しなくなる</t>
  </si>
  <si>
    <t xml:space="preserve">配置候補</t>
  </si>
  <si>
    <t xml:space="preserve">タイプ</t>
  </si>
  <si>
    <t xml:space="preserve">ひふきやろう</t>
  </si>
  <si>
    <t xml:space="preserve">手持ちの炎ポケモンのこうげき、とくこう、ぼうぎょ、とくぼうのステータスが1.3倍</t>
  </si>
  <si>
    <t xml:space="preserve">バッジが4個以上の状態で手持ちと控えの炎ポケモンのレベルが合計で１00レベル以上の時、所有・非所有にかかわらず、ひふきやろうマスに止まるとバトルできるようになり勝利することで選択が可能になる</t>
  </si>
  <si>
    <t xml:space="preserve">4番道路、8番道路、グレンタウン</t>
  </si>
  <si>
    <t xml:space="preserve">つりびと</t>
  </si>
  <si>
    <t xml:space="preserve">手持ちの水ポケモンのこうげき、とくこう、ぼうぎょ、とくぼうのステータスが1.3倍</t>
  </si>
  <si>
    <t xml:space="preserve">バッジが4個以上の状態で手持ちと控えの水
ポケモンのレベルが合計で１00レベル以上の時、所有・非所有にかかわらず、つりびとマスに止まるとバトルできるようになり勝利することで選択が可能になる</t>
  </si>
  <si>
    <t xml:space="preserve">25番道路、12番道路、19番水道</t>
  </si>
  <si>
    <t xml:space="preserve">むしとりしょうねん</t>
  </si>
  <si>
    <t xml:space="preserve">手持ちの草ポケモンのこうげき、とくこう、ぼうぎょ、とくぼうのステータスが1.3倍</t>
  </si>
  <si>
    <t xml:space="preserve">バッジが4個以上の状態で手持ちと控えの草ポケモンのレベルが合計で１0０レベル以上の時、所有・非所有にかかわらず、むしとりしょうねんマスに止まるとバトルできるようになり勝利することで選択が可能になる</t>
  </si>
  <si>
    <t xml:space="preserve">トキワの森、24番道路、15番道路</t>
  </si>
  <si>
    <t xml:space="preserve">でんきグループ</t>
  </si>
  <si>
    <t xml:space="preserve">手持ちの電気ポケモンのこうげき、とくこう、ぼうぎょ、とくぼうのステータスが1.3倍</t>
  </si>
  <si>
    <t xml:space="preserve">バッジが4個以上の状態で手持ちと控えの電気ポケモンのレベルが合計で１0０レベル以上の時、所有・非所有にかかわらず、でんきグループマスに止まるとバトルできるようになり勝利することで選択が可能になる
</t>
  </si>
  <si>
    <t xml:space="preserve">9番道路、10番道路、むじんはつでんしょ</t>
  </si>
  <si>
    <t xml:space="preserve">やまおとこ</t>
  </si>
  <si>
    <t xml:space="preserve">手持ちの闘ポケモンのこうげき、とくこう、ぼうぎょ、とくぼうのステータスが1.3倍</t>
  </si>
  <si>
    <t xml:space="preserve">バッジが4個以上の状態で手持ちと控えの闘ポケモンのレベルが合計で１0０レベル以上の時、所有・非所有にかかわらず、やまおとこマスに止まるとバトルできるようになり勝利することで選択が可能になる</t>
  </si>
  <si>
    <t xml:space="preserve">おつきみ山、イワヤマトンネル、ディグダの穴</t>
  </si>
  <si>
    <t xml:space="preserve">オカルトマニア</t>
  </si>
  <si>
    <t xml:space="preserve">手持ちの超ポケモンのこうげき、とくこう、ぼうぎょ、とくぼうのステータスが1.3倍</t>
  </si>
  <si>
    <t xml:space="preserve">バッジが4個以上の状態で手持ちと控えの超ポケモンのレベルが合計で１0０レベル以上の時、所有・非所有にかかわらず、オカルトマニアマスに止まるとバトルできるようになり勝利することで選択が可能になる
</t>
  </si>
  <si>
    <t xml:space="preserve">ポケモンタワー、シオンタウン、ポケモン屋敷</t>
  </si>
  <si>
    <t xml:space="preserve">ドラゴンつかい</t>
  </si>
  <si>
    <t xml:space="preserve">手持ちのドラゴンポケモンのこうげき、とくこう、ぼうぎょ、とくぼうのステータスが1.3倍</t>
  </si>
  <si>
    <t xml:space="preserve">バッジが4個以上の状態で手持ちと控えのドラゴンポケモンのレベルが合計で１0０レベル以上の時、所有・非所有にかかわらず、ドラゴンつかいマスに止まるとバトルできるようになり勝利することで選択が可能になる</t>
  </si>
  <si>
    <t xml:space="preserve">23番道路、20番水道、ふたご島</t>
  </si>
  <si>
    <t xml:space="preserve">とりつかい</t>
  </si>
  <si>
    <t xml:space="preserve">手持ちのノーマルポケモンのこうげき、とくこう、ぼうぎょ、とくぼうのステータスが1.3倍</t>
  </si>
  <si>
    <t xml:space="preserve">バッジが4個以上の状態で手持ちと控えのノーマルポケモンのレベルが合計で１0０レベル以上の時、所有・非所有にかかわらず、とりつかいマスに止まるとバトルできるようになり勝利することで選択が可能になる</t>
  </si>
  <si>
    <t xml:space="preserve">3番道路、5番道路、14番道路</t>
  </si>
  <si>
    <t xml:space="preserve">さぎょういん</t>
  </si>
  <si>
    <t xml:space="preserve">手持ちの鋼ポケモンのこうげき、とくこう、ぼうぎょ、とくぼうのステータスが1.3倍</t>
  </si>
  <si>
    <t xml:space="preserve">バッジが4個以上の状態で手持ちと控えの鋼ポケモンのレベルが合計で１0０レベル以上の時、所有・非所有にかかわらず、さぎょういんマスに止まるとバトルできるようになり勝利することで選択が可能になる</t>
  </si>
  <si>
    <t xml:space="preserve">クチバシティ、6番道路、16番道路</t>
  </si>
  <si>
    <t xml:space="preserve">もうじゅうつかい</t>
  </si>
  <si>
    <t xml:space="preserve">手持ちの悪ポケモンのこうげき、とくこう、ぼうぎょ、とくぼうのステータスが1.3倍</t>
  </si>
  <si>
    <t xml:space="preserve">バッジが4個以上の状態で手持ちと控えの悪
ポケモンのレベルが合計で１0０レベル以上の時、所有・非所有にかかわらず、もうじゅうつかいマスに止まるとバトルできるようになり勝利することで選択が可能になる</t>
  </si>
  <si>
    <t xml:space="preserve">7番道路、11番道路、サファリゾーン</t>
  </si>
  <si>
    <t xml:space="preserve">アイドル</t>
  </si>
  <si>
    <t xml:space="preserve">手持ちのフェアリーポケモンのこうげき、とくこう、ぼうぎょ、とくぼうのステータスが1.3倍
</t>
  </si>
  <si>
    <t xml:space="preserve">バッジが4個以上の状態で手持ちと控えのフェアリー
ポケモンのレベルが合計で１0０レベル以上の時、所有・非所有にかかわらず、アイドルマスに止まるとバトルできるようになり勝利することで選択が可能になる</t>
  </si>
  <si>
    <t xml:space="preserve">ハナダシティ、タマムシシティ、セキチクシティ</t>
  </si>
  <si>
    <t xml:space="preserve">ステータス</t>
  </si>
  <si>
    <t xml:space="preserve">からておう</t>
  </si>
  <si>
    <t xml:space="preserve">手持ちのすべてのポケモンのこうげき、ぼうぎょのステータスが1.1倍</t>
  </si>
  <si>
    <t xml:space="preserve">バッジが6個以上の状態で、図鑑に100種類以上のポケモンが登録されている場合、格闘道場マスに止まるとバトルできるようになり勝利することで選択が可能になる</t>
  </si>
  <si>
    <t xml:space="preserve">ヤマブキシティ（格闘道場）に固定</t>
  </si>
  <si>
    <t xml:space="preserve">サイキッカー</t>
  </si>
  <si>
    <t xml:space="preserve">　手持ちのすべてのポケモンのとくこう、とくぼうのステータスが1.1倍</t>
  </si>
  <si>
    <t xml:space="preserve">バッジが6個以上の状態で、図鑑に100種類以上のポケモンが登録されている場合ヤマブキジムに止まるとバトルできるようになり勝利することで選択が可能になる</t>
  </si>
  <si>
    <t xml:space="preserve">ヤマブキシティ（ヤマブキジム）に固定</t>
  </si>
  <si>
    <t xml:space="preserve">エリートトレーナー</t>
  </si>
  <si>
    <t xml:space="preserve">手持ちのすべてのポケモンのHPのステータスが1.2倍、バトルで必殺技選択時ダメージが１.１倍</t>
  </si>
  <si>
    <t xml:space="preserve">バッジが8個以上の状態で、図鑑に100種類以上のポケモンが登録されている場合、
チャンピオンロードにいるエリートトレーナーマスに止まるとバトルできるようになり勝利することで選択が可能になる</t>
  </si>
  <si>
    <t xml:space="preserve">チャンピオンロードに固定</t>
  </si>
  <si>
    <t xml:space="preserve">特殊</t>
  </si>
  <si>
    <t xml:space="preserve">けんきゅういん　</t>
  </si>
  <si>
    <t xml:space="preserve">進化に必要なアイテムを踏み倒すことができる</t>
  </si>
  <si>
    <t xml:space="preserve">図鑑に130種類以上のポケモンが登録されている状態でオーキド博士（固定マス）に会うと選択が可能になる。ポケベルでナナカマド博士を呼んだ場合は、条件が図鑑100種類以上に軽減される</t>
  </si>
  <si>
    <t xml:space="preserve">マサラタウン（研究室）に固定</t>
  </si>
  <si>
    <t xml:space="preserve">だいすきくらぶ</t>
  </si>
  <si>
    <t xml:space="preserve">ポケモンをゲットしやすくなる</t>
  </si>
  <si>
    <t xml:space="preserve">サファリゾーンの金の入れ歯を園長に渡すことで選択が可能になる
</t>
  </si>
  <si>
    <t xml:space="preserve">サファリゾーン（園長）に固定</t>
  </si>
  <si>
    <t xml:space="preserve">ロケット団　</t>
  </si>
  <si>
    <t xml:space="preserve">アイテム上限が増える。
ポケモンセンターでの回復ができなくなる。
戦闘に勝った際、コストに限らず人のポケモンを奪うことができる</t>
  </si>
  <si>
    <t xml:space="preserve">サカキを討伐後、ライバル”シルバー”にニューラまたはマニューラを交換してもらいポケベルを使って再度サカキと戦闘することで選択が可能になる
</t>
  </si>
  <si>
    <t xml:space="preserve">盤面に置かない（条件で解放）</t>
  </si>
  <si>
    <t xml:space="preserve">サイクリング　</t>
  </si>
  <si>
    <t xml:space="preserve">移動の際追加で3歩まで進める</t>
  </si>
  <si>
    <r>
      <rPr>
        <sz val="11"/>
        <color theme="1"/>
        <rFont val="ＭＳ Ｐゴシック"/>
        <family val="2"/>
        <charset val="1"/>
      </rPr>
      <t xml:space="preserve">17</t>
    </r>
    <r>
      <rPr>
        <sz val="11"/>
        <color theme="1"/>
        <rFont val="Noto Sans CJK SC"/>
        <family val="2"/>
      </rPr>
      <t xml:space="preserve">番道路（サイクリングロード）のトレーナ３人以上所有している状態で、アイテム”自転車”を</t>
    </r>
    <r>
      <rPr>
        <sz val="11"/>
        <color theme="1"/>
        <rFont val="ＭＳ Ｐゴシック"/>
        <family val="2"/>
        <charset val="1"/>
      </rPr>
      <t xml:space="preserve">30</t>
    </r>
    <r>
      <rPr>
        <sz val="11"/>
        <color theme="1"/>
        <rFont val="Noto Sans CJK SC"/>
        <family val="2"/>
      </rPr>
      <t xml:space="preserve">回以上使用することで選択が可能になる
</t>
    </r>
  </si>
  <si>
    <t xml:space="preserve">番号</t>
  </si>
  <si>
    <t xml:space="preserve">弱点</t>
  </si>
  <si>
    <t xml:space="preserve">特性</t>
  </si>
  <si>
    <t xml:space="preserve">こうげき技</t>
  </si>
  <si>
    <t xml:space="preserve">こうげき技の効果</t>
  </si>
  <si>
    <t xml:space="preserve">とくこう技</t>
  </si>
  <si>
    <t xml:space="preserve">とくこう技の効果</t>
  </si>
  <si>
    <t xml:space="preserve">必殺技</t>
  </si>
  <si>
    <t xml:space="preserve">HP</t>
  </si>
  <si>
    <t xml:space="preserve">こうげき</t>
  </si>
  <si>
    <t xml:space="preserve">ぼうぎょ</t>
  </si>
  <si>
    <t xml:space="preserve">とくこう</t>
  </si>
  <si>
    <t xml:space="preserve">とくぼう</t>
  </si>
  <si>
    <t xml:space="preserve">すばやさ</t>
  </si>
  <si>
    <t xml:space="preserve">合計</t>
  </si>
  <si>
    <t xml:space="preserve">進化条件</t>
  </si>
  <si>
    <t xml:space="preserve">出現</t>
  </si>
  <si>
    <t xml:space="preserve">バランス</t>
  </si>
  <si>
    <t xml:space="preserve">種類数</t>
  </si>
  <si>
    <t xml:space="preserve">フシギダネ</t>
  </si>
  <si>
    <t xml:space="preserve">草</t>
  </si>
  <si>
    <t xml:space="preserve">炎</t>
  </si>
  <si>
    <t xml:space="preserve">たいあたり</t>
  </si>
  <si>
    <t xml:space="preserve">-</t>
  </si>
  <si>
    <t xml:space="preserve">タネばくだん</t>
  </si>
  <si>
    <t xml:space="preserve">マジカルリーフ</t>
  </si>
  <si>
    <t xml:space="preserve">フシギソウ</t>
  </si>
  <si>
    <t xml:space="preserve">つるのむち</t>
  </si>
  <si>
    <t xml:space="preserve">はっぱカッター</t>
  </si>
  <si>
    <t xml:space="preserve">ソーラービーム</t>
  </si>
  <si>
    <t xml:space="preserve">水</t>
  </si>
  <si>
    <t xml:space="preserve">フシギバナ</t>
  </si>
  <si>
    <t xml:space="preserve">しんりょく：HPが最大HPの1/3以下のとき、攻撃のダメージが1.5倍</t>
  </si>
  <si>
    <t xml:space="preserve">ハードプラント</t>
  </si>
  <si>
    <t xml:space="preserve">ヒトカゲ</t>
  </si>
  <si>
    <t xml:space="preserve">ほのおのキバ</t>
  </si>
  <si>
    <t xml:space="preserve">ひのこ</t>
  </si>
  <si>
    <t xml:space="preserve">かえんぐるま</t>
  </si>
  <si>
    <t xml:space="preserve">雷</t>
  </si>
  <si>
    <t xml:space="preserve">リザード</t>
  </si>
  <si>
    <t xml:space="preserve">ほのおのパンチ</t>
  </si>
  <si>
    <t xml:space="preserve">かえんほうしゃ</t>
  </si>
  <si>
    <t xml:space="preserve">ねっぷう</t>
  </si>
  <si>
    <t xml:space="preserve">闘</t>
  </si>
  <si>
    <t xml:space="preserve">リザードン</t>
  </si>
  <si>
    <t xml:space="preserve">もうか：HPが最大HPの1/3以下のとき、攻撃のダメージが1.5倍</t>
  </si>
  <si>
    <t xml:space="preserve">フレアドライブ</t>
  </si>
  <si>
    <t xml:space="preserve">だいもんじ</t>
  </si>
  <si>
    <t xml:space="preserve">ブラストバーン</t>
  </si>
  <si>
    <t xml:space="preserve">超</t>
  </si>
  <si>
    <t xml:space="preserve">ゼニガメ</t>
  </si>
  <si>
    <t xml:space="preserve">アクアジェット</t>
  </si>
  <si>
    <t xml:space="preserve">みずでっぽう</t>
  </si>
  <si>
    <t xml:space="preserve">バブルこうせん</t>
  </si>
  <si>
    <t xml:space="preserve">悪</t>
  </si>
  <si>
    <t xml:space="preserve">カメール</t>
  </si>
  <si>
    <t xml:space="preserve">アクアテール</t>
  </si>
  <si>
    <t xml:space="preserve">なみのり</t>
  </si>
  <si>
    <t xml:space="preserve">だくりゅう</t>
  </si>
  <si>
    <t xml:space="preserve">フェアリー</t>
  </si>
  <si>
    <t xml:space="preserve">カメックス</t>
  </si>
  <si>
    <t xml:space="preserve">げきりゅう：HPが最大HPの1/3以下のとき、攻撃のダメージが1.5倍</t>
  </si>
  <si>
    <t xml:space="preserve">たきのぼり</t>
  </si>
  <si>
    <t xml:space="preserve">ハイドロポンプ</t>
  </si>
  <si>
    <t xml:space="preserve">ハイドロカノン</t>
  </si>
  <si>
    <t xml:space="preserve">鋼</t>
  </si>
  <si>
    <t xml:space="preserve">キャタピー</t>
  </si>
  <si>
    <t xml:space="preserve">むしくい</t>
  </si>
  <si>
    <t xml:space="preserve">むしのていこう</t>
  </si>
  <si>
    <t xml:space="preserve">ミサイルばり</t>
  </si>
  <si>
    <t xml:space="preserve">トキワの森、22番道路</t>
  </si>
  <si>
    <t xml:space="preserve">ドラゴン</t>
  </si>
  <si>
    <t xml:space="preserve">トランセル</t>
  </si>
  <si>
    <t xml:space="preserve">トキワの森</t>
  </si>
  <si>
    <t xml:space="preserve">ノーマル</t>
  </si>
  <si>
    <t xml:space="preserve">バタフリー</t>
  </si>
  <si>
    <t xml:space="preserve">りんぷん：相手の攻撃の追加効果を受けない</t>
  </si>
  <si>
    <t xml:space="preserve">サイケこうせん</t>
  </si>
  <si>
    <r>
      <rPr>
        <sz val="11"/>
        <color theme="1"/>
        <rFont val="ＭＳ Ｐゴシック"/>
        <family val="3"/>
        <charset val="128"/>
      </rPr>
      <t xml:space="preserve">10%</t>
    </r>
    <r>
      <rPr>
        <sz val="11"/>
        <color theme="1"/>
        <rFont val="Noto Sans CJK SC"/>
        <family val="2"/>
      </rPr>
      <t xml:space="preserve">でマヒ</t>
    </r>
  </si>
  <si>
    <t xml:space="preserve">シグナルビーム</t>
  </si>
  <si>
    <r>
      <rPr>
        <sz val="11"/>
        <color theme="1"/>
        <rFont val="ＭＳ Ｐゴシック"/>
        <family val="3"/>
        <charset val="128"/>
      </rPr>
      <t xml:space="preserve">20%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</si>
  <si>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エナジーボール</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</si>
  <si>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</si>
  <si>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ビードル</t>
  </si>
  <si>
    <t xml:space="preserve">トキワの森、25番道路</t>
  </si>
  <si>
    <t xml:space="preserve">コクーン</t>
  </si>
  <si>
    <t xml:space="preserve">スピアー</t>
  </si>
  <si>
    <t xml:space="preserve">むしのしらせ：HPが最大HPの1/3以下のとき、攻撃のダメージが1.5倍</t>
  </si>
  <si>
    <t xml:space="preserve">ダブルニードル</t>
  </si>
  <si>
    <r>
      <rPr>
        <sz val="11"/>
        <color theme="1"/>
        <rFont val="ＭＳ Ｐゴシック"/>
        <family val="3"/>
        <charset val="128"/>
      </rPr>
      <t xml:space="preserve">20%</t>
    </r>
    <r>
      <rPr>
        <sz val="11"/>
        <color theme="1"/>
        <rFont val="Noto Sans CJK SC"/>
        <family val="2"/>
      </rPr>
      <t xml:space="preserve">で相手をどく</t>
    </r>
  </si>
  <si>
    <t xml:space="preserve">とどめばり</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</si>
  <si>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14</t>
    </r>
    <r>
      <rPr>
        <sz val="10"/>
        <rFont val="Noto Sans CJK SC"/>
        <family val="2"/>
      </rPr>
      <t xml:space="preserve">番道路</t>
    </r>
  </si>
  <si>
    <t xml:space="preserve">ポッポ</t>
  </si>
  <si>
    <t xml:space="preserve">つつく</t>
  </si>
  <si>
    <t xml:space="preserve">かぜおこし</t>
  </si>
  <si>
    <t xml:space="preserve">つばさでうつ</t>
  </si>
  <si>
    <r>
      <rPr>
        <sz val="10"/>
        <rFont val="ＭＳ Ｐゴシック"/>
        <family val="3"/>
        <charset val="128"/>
      </rPr>
      <t xml:space="preserve">1</t>
    </r>
    <r>
      <rPr>
        <sz val="10"/>
        <rFont val="Noto Sans CJK SC"/>
        <family val="2"/>
      </rPr>
      <t xml:space="preserve">番道路ほか各地</t>
    </r>
  </si>
  <si>
    <t xml:space="preserve">ピジョン</t>
  </si>
  <si>
    <r>
      <rPr>
        <sz val="10"/>
        <rFont val="ＭＳ Ｐゴシック"/>
        <family val="3"/>
        <charset val="128"/>
      </rPr>
      <t xml:space="preserve">13</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</si>
  <si>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ピジョット</t>
  </si>
  <si>
    <t xml:space="preserve">つばめがえし</t>
  </si>
  <si>
    <t xml:space="preserve">エアスラッシュ</t>
  </si>
  <si>
    <r>
      <rPr>
        <sz val="11"/>
        <color theme="1"/>
        <rFont val="ＭＳ Ｐゴシック"/>
        <family val="3"/>
        <charset val="128"/>
      </rPr>
      <t xml:space="preserve">10%</t>
    </r>
    <r>
      <rPr>
        <sz val="11"/>
        <color theme="1"/>
        <rFont val="Noto Sans CJK SC"/>
        <family val="2"/>
      </rPr>
      <t xml:space="preserve">で自分のすばやさを</t>
    </r>
    <r>
      <rPr>
        <sz val="11"/>
        <color theme="1"/>
        <rFont val="ＭＳ Ｐゴシック"/>
        <family val="3"/>
        <charset val="128"/>
      </rPr>
      <t xml:space="preserve">1</t>
    </r>
    <r>
      <rPr>
        <sz val="11"/>
        <color theme="1"/>
        <rFont val="Noto Sans CJK SC"/>
        <family val="2"/>
      </rPr>
      <t xml:space="preserve">段階上げる</t>
    </r>
  </si>
  <si>
    <t xml:space="preserve">ドリルくちばし</t>
  </si>
  <si>
    <t xml:space="preserve">コラッタ</t>
  </si>
  <si>
    <t xml:space="preserve">スピードスター</t>
  </si>
  <si>
    <t xml:space="preserve">とっしん</t>
  </si>
  <si>
    <t xml:space="preserve">ラッタ</t>
  </si>
  <si>
    <t xml:space="preserve">はりきり：攻撃がガードされなかったとき、20%で物理攻撃のダメージが1.5倍</t>
  </si>
  <si>
    <t xml:space="preserve">のしかかり</t>
  </si>
  <si>
    <r>
      <rPr>
        <sz val="11"/>
        <color theme="1"/>
        <rFont val="ＭＳ Ｐゴシック"/>
        <family val="3"/>
        <charset val="128"/>
      </rPr>
      <t xml:space="preserve">30%</t>
    </r>
    <r>
      <rPr>
        <sz val="11"/>
        <color theme="1"/>
        <rFont val="Noto Sans CJK SC"/>
        <family val="2"/>
      </rPr>
      <t xml:space="preserve">で相手をまひ</t>
    </r>
  </si>
  <si>
    <t xml:space="preserve">ハイパーボイス</t>
  </si>
  <si>
    <t xml:space="preserve">すてみタックル</t>
  </si>
  <si>
    <t xml:space="preserve">各地の草むら</t>
  </si>
  <si>
    <t xml:space="preserve">オニスズメ</t>
  </si>
  <si>
    <r>
      <rPr>
        <sz val="10"/>
        <rFont val="ＭＳ Ｐゴシック"/>
        <family val="3"/>
        <charset val="128"/>
      </rPr>
      <t xml:space="preserve">3</t>
    </r>
    <r>
      <rPr>
        <sz val="10"/>
        <rFont val="Noto Sans CJK SC"/>
        <family val="2"/>
      </rPr>
      <t xml:space="preserve">番道路</t>
    </r>
  </si>
  <si>
    <t xml:space="preserve">オニドリル</t>
  </si>
  <si>
    <t xml:space="preserve">急所に当たりやすい（15%）</t>
  </si>
  <si>
    <t xml:space="preserve">ハナダの洞窟</t>
  </si>
  <si>
    <t xml:space="preserve">アーボ</t>
  </si>
  <si>
    <t xml:space="preserve">どくばり</t>
  </si>
  <si>
    <t xml:space="preserve">ようかいえき</t>
  </si>
  <si>
    <t xml:space="preserve">ヘドロこうげき</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</si>
  <si>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番道路（赤のみ）</t>
    </r>
  </si>
  <si>
    <t xml:space="preserve">アーボック</t>
  </si>
  <si>
    <t xml:space="preserve">いかく：このポケモンを出したとき、相手のこうげきを1段階下げる</t>
  </si>
  <si>
    <t xml:space="preserve">どくづき</t>
  </si>
  <si>
    <t xml:space="preserve">ヘドロばくだん</t>
  </si>
  <si>
    <r>
      <rPr>
        <sz val="11"/>
        <color theme="1"/>
        <rFont val="ＭＳ Ｐゴシック"/>
        <family val="3"/>
        <charset val="128"/>
      </rPr>
      <t xml:space="preserve">30%</t>
    </r>
    <r>
      <rPr>
        <sz val="11"/>
        <color theme="1"/>
        <rFont val="Noto Sans CJK SC"/>
        <family val="2"/>
      </rPr>
      <t xml:space="preserve">で相手をどく</t>
    </r>
  </si>
  <si>
    <t xml:space="preserve">ダストシュート</t>
  </si>
  <si>
    <t xml:space="preserve">ピカチュウ</t>
  </si>
  <si>
    <t xml:space="preserve">スパーク</t>
  </si>
  <si>
    <r>
      <rPr>
        <sz val="11"/>
        <color theme="1"/>
        <rFont val="ＭＳ Ｐゴシック"/>
        <family val="3"/>
        <charset val="128"/>
      </rPr>
      <t xml:space="preserve">20%</t>
    </r>
    <r>
      <rPr>
        <sz val="11"/>
        <color theme="1"/>
        <rFont val="Noto Sans CJK SC"/>
        <family val="2"/>
      </rPr>
      <t xml:space="preserve">で相手をまひ</t>
    </r>
  </si>
  <si>
    <t xml:space="preserve">ボルテッカー</t>
  </si>
  <si>
    <t xml:space="preserve">トキワの森、むじんはつでんしょ</t>
  </si>
  <si>
    <t xml:space="preserve">ライチュウ</t>
  </si>
  <si>
    <t xml:space="preserve">せいでんき：接触技を受けると30%の確率でマヒにする</t>
  </si>
  <si>
    <t xml:space="preserve">ワイルドボルト</t>
  </si>
  <si>
    <r>
      <rPr>
        <sz val="11"/>
        <color theme="1"/>
        <rFont val="ＭＳ Ｐゴシック"/>
        <family val="3"/>
        <charset val="128"/>
      </rPr>
      <t xml:space="preserve">10</t>
    </r>
    <r>
      <rPr>
        <sz val="11"/>
        <color theme="1"/>
        <rFont val="Noto Sans CJK SC"/>
        <family val="2"/>
      </rPr>
      <t xml:space="preserve">まんボルト</t>
    </r>
  </si>
  <si>
    <t xml:space="preserve">かみなり</t>
  </si>
  <si>
    <t xml:space="preserve">むじんはつでんしょ、ハウ</t>
  </si>
  <si>
    <t xml:space="preserve">サンド</t>
  </si>
  <si>
    <t xml:space="preserve">じならし</t>
  </si>
  <si>
    <t xml:space="preserve">どろかけ</t>
  </si>
  <si>
    <t xml:space="preserve">あなをほる</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</si>
  <si>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番道路（緑のみ）</t>
    </r>
  </si>
  <si>
    <t xml:space="preserve">サンドパン</t>
  </si>
  <si>
    <t xml:space="preserve">すなかき：砂あらしのとき、すばやさが2倍</t>
  </si>
  <si>
    <t xml:space="preserve">ドリルライナー</t>
  </si>
  <si>
    <r>
      <rPr>
        <sz val="11"/>
        <color theme="1"/>
        <rFont val="ＭＳ Ｐゴシック"/>
        <family val="3"/>
        <charset val="128"/>
      </rPr>
      <t xml:space="preserve">20%</t>
    </r>
    <r>
      <rPr>
        <sz val="11"/>
        <color theme="1"/>
        <rFont val="Noto Sans CJK SC"/>
        <family val="2"/>
      </rPr>
      <t xml:space="preserve">で相手のすばやさを</t>
    </r>
    <r>
      <rPr>
        <sz val="11"/>
        <color theme="1"/>
        <rFont val="ＭＳ Ｐゴシック"/>
        <family val="3"/>
        <charset val="128"/>
      </rPr>
      <t xml:space="preserve">1</t>
    </r>
    <r>
      <rPr>
        <sz val="11"/>
        <color theme="1"/>
        <rFont val="Noto Sans CJK SC"/>
        <family val="2"/>
      </rPr>
      <t xml:space="preserve">段階下げる</t>
    </r>
  </si>
  <si>
    <t xml:space="preserve">だいちのちから</t>
  </si>
  <si>
    <t xml:space="preserve">じしん</t>
  </si>
  <si>
    <t xml:space="preserve">ニドラン♀</t>
  </si>
  <si>
    <r>
      <rPr>
        <sz val="10"/>
        <rFont val="ＭＳ Ｐゴシック"/>
        <family val="3"/>
        <charset val="128"/>
      </rPr>
      <t xml:space="preserve">3</t>
    </r>
    <r>
      <rPr>
        <sz val="10"/>
        <rFont val="Noto Sans CJK SC"/>
        <family val="2"/>
      </rPr>
      <t xml:space="preserve">番道路、サファリゾーン</t>
    </r>
  </si>
  <si>
    <t xml:space="preserve">ニドリーナ</t>
  </si>
  <si>
    <t xml:space="preserve">サファリゾーン</t>
  </si>
  <si>
    <t xml:space="preserve">ニドクイン</t>
  </si>
  <si>
    <t xml:space="preserve">ヘドロウェーブ</t>
  </si>
  <si>
    <t xml:space="preserve">ニドラン♂</t>
  </si>
  <si>
    <t xml:space="preserve">ニドリーノ</t>
  </si>
  <si>
    <t xml:space="preserve">ニドキング</t>
  </si>
  <si>
    <t xml:space="preserve">ピッピ</t>
  </si>
  <si>
    <t xml:space="preserve">じゃれつく</t>
  </si>
  <si>
    <t xml:space="preserve">チャームボイス</t>
  </si>
  <si>
    <t xml:space="preserve">マジカルシャイン</t>
  </si>
  <si>
    <t xml:space="preserve">おつきみやま</t>
  </si>
  <si>
    <t xml:space="preserve">ピクシー</t>
  </si>
  <si>
    <r>
      <rPr>
        <sz val="11"/>
        <color theme="1"/>
        <rFont val="ＭＳ Ｐゴシック"/>
        <family val="3"/>
        <charset val="128"/>
      </rPr>
      <t xml:space="preserve">30%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</si>
  <si>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ムーンフォース</t>
  </si>
  <si>
    <t xml:space="preserve">ロコン</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</si>
  <si>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</si>
  <si>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キュウコン</t>
  </si>
  <si>
    <t xml:space="preserve">ひでり：このポケモンを出したとき、バトルの天候を晴れにする</t>
  </si>
  <si>
    <t xml:space="preserve">オーバーヒート</t>
  </si>
  <si>
    <t xml:space="preserve">プリン</t>
  </si>
  <si>
    <r>
      <rPr>
        <sz val="10"/>
        <rFont val="ＭＳ Ｐゴシック"/>
        <family val="3"/>
        <charset val="128"/>
      </rPr>
      <t xml:space="preserve">3</t>
    </r>
    <r>
      <rPr>
        <sz val="10"/>
        <rFont val="Noto Sans CJK SC"/>
        <family val="2"/>
      </rPr>
      <t xml:space="preserve">番道路、</t>
    </r>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t>
    </r>
  </si>
  <si>
    <t xml:space="preserve">プクリン</t>
  </si>
  <si>
    <r>
      <rPr>
        <sz val="11"/>
        <color theme="1"/>
        <rFont val="ＭＳ Ｐゴシック"/>
        <family val="3"/>
        <charset val="128"/>
      </rPr>
      <t xml:space="preserve">20%</t>
    </r>
    <r>
      <rPr>
        <sz val="11"/>
        <color theme="1"/>
        <rFont val="Noto Sans CJK SC"/>
        <family val="2"/>
      </rPr>
      <t xml:space="preserve">で相手のこうげきを</t>
    </r>
    <r>
      <rPr>
        <sz val="11"/>
        <color theme="1"/>
        <rFont val="ＭＳ Ｐゴシック"/>
        <family val="3"/>
        <charset val="128"/>
      </rPr>
      <t xml:space="preserve">1</t>
    </r>
    <r>
      <rPr>
        <sz val="11"/>
        <color theme="1"/>
        <rFont val="Noto Sans CJK SC"/>
        <family val="2"/>
      </rPr>
      <t xml:space="preserve">段階下げる</t>
    </r>
  </si>
  <si>
    <t xml:space="preserve">ズバット</t>
  </si>
  <si>
    <t xml:space="preserve">おつきみやま、イワヤマトンネル</t>
  </si>
  <si>
    <t xml:space="preserve">ゴルバット</t>
  </si>
  <si>
    <t xml:space="preserve">先頭にして20ターン経過</t>
  </si>
  <si>
    <t xml:space="preserve">クロバット</t>
  </si>
  <si>
    <t xml:space="preserve">ナゾノクサ</t>
  </si>
  <si>
    <t xml:space="preserve">すいとる</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</si>
  <si>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番道路（赤のみ）</t>
    </r>
  </si>
  <si>
    <t xml:space="preserve">クサイハナ</t>
  </si>
  <si>
    <t xml:space="preserve">メガドレイン</t>
  </si>
  <si>
    <t xml:space="preserve">リーフのいし＝ラフレシア
たいようのいし＝キレイハナ</t>
  </si>
  <si>
    <t xml:space="preserve">ラフレシア</t>
  </si>
  <si>
    <t xml:space="preserve">ようりょくそ：晴れのとき、すばやさが2倍</t>
  </si>
  <si>
    <t xml:space="preserve">パワーウィップ</t>
  </si>
  <si>
    <r>
      <rPr>
        <sz val="11"/>
        <color theme="1"/>
        <rFont val="ＭＳ Ｐゴシック"/>
        <family val="3"/>
        <charset val="128"/>
      </rPr>
      <t xml:space="preserve">10%</t>
    </r>
    <r>
      <rPr>
        <sz val="11"/>
        <color theme="1"/>
        <rFont val="Noto Sans CJK SC"/>
        <family val="2"/>
      </rPr>
      <t xml:space="preserve">で相手をねむり</t>
    </r>
  </si>
  <si>
    <t xml:space="preserve">リーフストーム</t>
  </si>
  <si>
    <t xml:space="preserve">キレイハナ</t>
  </si>
  <si>
    <t xml:space="preserve">いやしのこころ：バトル終了時、10%手持ちのポケモンの状態異常を治す</t>
  </si>
  <si>
    <t xml:space="preserve">コンパン</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</si>
  <si>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番道路、サファリゾーン</t>
    </r>
  </si>
  <si>
    <t xml:space="preserve">モルフォン</t>
  </si>
  <si>
    <t xml:space="preserve">シザークロス</t>
  </si>
  <si>
    <t xml:space="preserve">とびかかる</t>
  </si>
  <si>
    <t xml:space="preserve">ディグダ</t>
  </si>
  <si>
    <t xml:space="preserve">ディグダのあな</t>
  </si>
  <si>
    <t xml:space="preserve">ダグトリオ</t>
  </si>
  <si>
    <t xml:space="preserve">すなのちから：砂あらしのとき、攻撃のダメージが1.3倍</t>
  </si>
  <si>
    <t xml:space="preserve">ニャース</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</si>
  <si>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</si>
  <si>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ペルシアン</t>
  </si>
  <si>
    <t xml:space="preserve">コダック</t>
  </si>
  <si>
    <r>
      <rPr>
        <sz val="10"/>
        <rFont val="ＭＳ Ｐゴシック"/>
        <family val="3"/>
        <charset val="128"/>
      </rPr>
      <t xml:space="preserve">6</t>
    </r>
    <r>
      <rPr>
        <sz val="10"/>
        <rFont val="Noto Sans CJK SC"/>
        <family val="2"/>
      </rPr>
      <t xml:space="preserve">番水道、サファリゾーン</t>
    </r>
  </si>
  <si>
    <t xml:space="preserve">ゴルダック</t>
  </si>
  <si>
    <t xml:space="preserve">すいすい：雨のとき、すばやさが2倍</t>
  </si>
  <si>
    <r>
      <rPr>
        <sz val="11"/>
        <color theme="1"/>
        <rFont val="ＭＳ Ｐゴシック"/>
        <family val="3"/>
        <charset val="128"/>
      </rPr>
      <t xml:space="preserve">10%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</si>
  <si>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しおふき</t>
  </si>
  <si>
    <t xml:space="preserve">マンキー</t>
  </si>
  <si>
    <t xml:space="preserve">からてチョップ</t>
  </si>
  <si>
    <t xml:space="preserve">しんくうは</t>
  </si>
  <si>
    <t xml:space="preserve">ばくれつパンチ</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</si>
  <si>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</si>
  <si>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オコリザル</t>
  </si>
  <si>
    <t xml:space="preserve">かわらわり</t>
  </si>
  <si>
    <t xml:space="preserve">はどうだん</t>
  </si>
  <si>
    <t xml:space="preserve">クロスチョップ</t>
  </si>
  <si>
    <t xml:space="preserve">ガーディ</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</si>
  <si>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</si>
  <si>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ウインディ</t>
  </si>
  <si>
    <r>
      <rPr>
        <sz val="11"/>
        <color theme="1"/>
        <rFont val="ＭＳ Ｐゴシック"/>
        <family val="3"/>
        <charset val="128"/>
      </rPr>
      <t xml:space="preserve">20%</t>
    </r>
    <r>
      <rPr>
        <sz val="11"/>
        <color theme="1"/>
        <rFont val="Noto Sans CJK SC"/>
        <family val="2"/>
      </rPr>
      <t xml:space="preserve">で相手をやけど</t>
    </r>
  </si>
  <si>
    <t xml:space="preserve">しんそく</t>
  </si>
  <si>
    <t xml:space="preserve">ニョロモ</t>
  </si>
  <si>
    <t xml:space="preserve">各地の水辺（つり）</t>
  </si>
  <si>
    <t xml:space="preserve">ニョロゾ</t>
  </si>
  <si>
    <t xml:space="preserve">みずのいし＝ニョロボン
おうじゃのうろこ＝ニョロトノ</t>
  </si>
  <si>
    <t xml:space="preserve">ニョロボン</t>
  </si>
  <si>
    <t xml:space="preserve">ニョロトノ</t>
  </si>
  <si>
    <t xml:space="preserve">アメフラシ：このポケモンを出したとき、バトルの天候を雨にする</t>
  </si>
  <si>
    <t xml:space="preserve">ねっとう</t>
  </si>
  <si>
    <t xml:space="preserve">ケーシィ</t>
  </si>
  <si>
    <t xml:space="preserve">しねんのずつき</t>
  </si>
  <si>
    <t xml:space="preserve">ねんりき</t>
  </si>
  <si>
    <r>
      <rPr>
        <sz val="10"/>
        <rFont val="ＭＳ Ｐゴシック"/>
        <family val="3"/>
        <charset val="128"/>
      </rPr>
      <t xml:space="preserve">24</t>
    </r>
    <r>
      <rPr>
        <sz val="10"/>
        <rFont val="Noto Sans CJK SC"/>
        <family val="2"/>
      </rPr>
      <t xml:space="preserve">・</t>
    </r>
    <r>
      <rPr>
        <sz val="10"/>
        <rFont val="ＭＳ Ｐゴシック"/>
        <family val="3"/>
        <charset val="128"/>
      </rPr>
      <t xml:space="preserve">25</t>
    </r>
    <r>
      <rPr>
        <sz val="10"/>
        <rFont val="Noto Sans CJK SC"/>
        <family val="2"/>
      </rPr>
      <t xml:space="preserve">番道路、サファリゾーン</t>
    </r>
  </si>
  <si>
    <t xml:space="preserve">ユンゲラー</t>
  </si>
  <si>
    <t xml:space="preserve">サイコキネシス</t>
  </si>
  <si>
    <t xml:space="preserve">サイコショック</t>
  </si>
  <si>
    <t xml:space="preserve">ライバルマスで進化可能</t>
  </si>
  <si>
    <t xml:space="preserve">フーディン</t>
  </si>
  <si>
    <t xml:space="preserve">サイコカッター</t>
  </si>
  <si>
    <t xml:space="preserve">みらいよち</t>
  </si>
  <si>
    <t xml:space="preserve">ワンリキー</t>
  </si>
  <si>
    <t xml:space="preserve">ゴーリキー</t>
  </si>
  <si>
    <t xml:space="preserve">ライバルのマスで進化可能</t>
  </si>
  <si>
    <t xml:space="preserve">チャンピオンロード</t>
  </si>
  <si>
    <t xml:space="preserve">カイリキー</t>
  </si>
  <si>
    <t xml:space="preserve">インファイト</t>
  </si>
  <si>
    <t xml:space="preserve">きあいだま</t>
  </si>
  <si>
    <t xml:space="preserve">マダツボミ</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</si>
  <si>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番道路（緑のみ）</t>
    </r>
  </si>
  <si>
    <t xml:space="preserve">ウツドン</t>
  </si>
  <si>
    <t xml:space="preserve">ウツボット</t>
  </si>
  <si>
    <t xml:space="preserve">メノクラゲ</t>
  </si>
  <si>
    <t xml:space="preserve">各地の海</t>
  </si>
  <si>
    <t xml:space="preserve">ドククラゲ</t>
  </si>
  <si>
    <t xml:space="preserve">アメのうけざら：雨のとき、ラウンド終了時に最大HPの1/16を回復する</t>
  </si>
  <si>
    <t xml:space="preserve">イシツブテ</t>
  </si>
  <si>
    <t xml:space="preserve">いわおとし</t>
  </si>
  <si>
    <t xml:space="preserve">げんしのちから</t>
  </si>
  <si>
    <t xml:space="preserve">いわなだれ</t>
  </si>
  <si>
    <t xml:space="preserve">おつきみやま、イワヤマトンネル、チャンピオンロード</t>
  </si>
  <si>
    <t xml:space="preserve">ゴローン</t>
  </si>
  <si>
    <t xml:space="preserve">パワージェム</t>
  </si>
  <si>
    <t xml:space="preserve">ストーンエッジ</t>
  </si>
  <si>
    <t xml:space="preserve">イワヤマトンネル</t>
  </si>
  <si>
    <t xml:space="preserve">ゴローニャ</t>
  </si>
  <si>
    <t xml:space="preserve">すながくれ：砂あらしのとき、相手の命中率が20%下がる</t>
  </si>
  <si>
    <r>
      <rPr>
        <sz val="11"/>
        <color theme="1"/>
        <rFont val="ＭＳ Ｐゴシック"/>
        <family val="3"/>
        <charset val="128"/>
      </rPr>
      <t xml:space="preserve">10%</t>
    </r>
    <r>
      <rPr>
        <sz val="11"/>
        <color theme="1"/>
        <rFont val="Noto Sans CJK SC"/>
        <family val="2"/>
      </rPr>
      <t xml:space="preserve">で自分のこうげき・とくこう・すばやさを</t>
    </r>
    <r>
      <rPr>
        <sz val="11"/>
        <color theme="1"/>
        <rFont val="ＭＳ Ｐゴシック"/>
        <family val="3"/>
        <charset val="128"/>
      </rPr>
      <t xml:space="preserve">1</t>
    </r>
    <r>
      <rPr>
        <sz val="11"/>
        <color theme="1"/>
        <rFont val="Noto Sans CJK SC"/>
        <family val="2"/>
      </rPr>
      <t xml:space="preserve">段階上げる</t>
    </r>
  </si>
  <si>
    <t xml:space="preserve">もろはのずつき</t>
  </si>
  <si>
    <t xml:space="preserve">ポニータ</t>
  </si>
  <si>
    <t xml:space="preserve">ギャロップ</t>
  </si>
  <si>
    <t xml:space="preserve">ほのおのからだ：接触攻撃を受けてガードに失敗したとき、20%相手をやけどにする</t>
  </si>
  <si>
    <t xml:space="preserve">ヤドン</t>
  </si>
  <si>
    <r>
      <rPr>
        <sz val="10"/>
        <rFont val="ＭＳ Ｐゴシック"/>
        <family val="3"/>
        <charset val="128"/>
      </rPr>
      <t xml:space="preserve">37</t>
    </r>
    <r>
      <rPr>
        <sz val="10"/>
        <rFont val="Noto Sans CJK SC"/>
        <family val="2"/>
      </rPr>
      <t xml:space="preserve">＝ヤドラン
おうじゃのうろこ＝ヤドキング</t>
    </r>
  </si>
  <si>
    <t xml:space="preserve">セキチクシティ周辺、サファリゾーン</t>
  </si>
  <si>
    <t xml:space="preserve">ヤドラン</t>
  </si>
  <si>
    <t xml:space="preserve">ヤドキング</t>
  </si>
  <si>
    <t xml:space="preserve">さいせいりょく：フルバトルで交代して下げたとき、最大HPの1/3を回復する</t>
  </si>
  <si>
    <t xml:space="preserve">コイル</t>
  </si>
  <si>
    <t xml:space="preserve">でんきショック</t>
  </si>
  <si>
    <t xml:space="preserve">エレキボール</t>
  </si>
  <si>
    <t xml:space="preserve">むじんはつでんしょ</t>
  </si>
  <si>
    <t xml:space="preserve">レアコイル</t>
  </si>
  <si>
    <t xml:space="preserve">かみなりパンチ</t>
  </si>
  <si>
    <t xml:space="preserve">ほうでん</t>
  </si>
  <si>
    <t xml:space="preserve">ジバコイル</t>
  </si>
  <si>
    <t xml:space="preserve">がんじょう：HPが満タンのとき、一撃で倒される攻撃を受けてもHP1で耐える</t>
  </si>
  <si>
    <t xml:space="preserve">アイアンヘッド</t>
  </si>
  <si>
    <t xml:space="preserve">ラスターカノン</t>
  </si>
  <si>
    <t xml:space="preserve">でんじほう</t>
  </si>
  <si>
    <t xml:space="preserve">ドードー</t>
  </si>
  <si>
    <r>
      <rPr>
        <sz val="10"/>
        <rFont val="ＭＳ Ｐゴシック"/>
        <family val="3"/>
        <charset val="128"/>
      </rPr>
      <t xml:space="preserve">16</t>
    </r>
    <r>
      <rPr>
        <sz val="10"/>
        <rFont val="Noto Sans CJK SC"/>
        <family val="2"/>
      </rPr>
      <t xml:space="preserve">〜</t>
    </r>
    <r>
      <rPr>
        <sz val="10"/>
        <rFont val="ＭＳ Ｐゴシック"/>
        <family val="3"/>
        <charset val="128"/>
      </rPr>
      <t xml:space="preserve">18</t>
    </r>
    <r>
      <rPr>
        <sz val="10"/>
        <rFont val="Noto Sans CJK SC"/>
        <family val="2"/>
      </rPr>
      <t xml:space="preserve">番道路、サファリゾーン</t>
    </r>
  </si>
  <si>
    <t xml:space="preserve">ドードリオ</t>
  </si>
  <si>
    <t xml:space="preserve">はやおき：ねむりの長さが半分になる（端数切り上げ）</t>
  </si>
  <si>
    <r>
      <rPr>
        <sz val="10"/>
        <rFont val="ＭＳ Ｐゴシック"/>
        <family val="3"/>
        <charset val="128"/>
      </rPr>
      <t xml:space="preserve">17</t>
    </r>
    <r>
      <rPr>
        <sz val="10"/>
        <rFont val="Noto Sans CJK SC"/>
        <family val="2"/>
      </rPr>
      <t xml:space="preserve">・</t>
    </r>
    <r>
      <rPr>
        <sz val="10"/>
        <rFont val="ＭＳ Ｐゴシック"/>
        <family val="3"/>
        <charset val="128"/>
      </rPr>
      <t xml:space="preserve">18</t>
    </r>
    <r>
      <rPr>
        <sz val="10"/>
        <rFont val="Noto Sans CJK SC"/>
        <family val="2"/>
      </rPr>
      <t xml:space="preserve">番道路</t>
    </r>
  </si>
  <si>
    <t xml:space="preserve">パウワウ</t>
  </si>
  <si>
    <t xml:space="preserve">こおりのキバ</t>
  </si>
  <si>
    <t xml:space="preserve">こなゆき</t>
  </si>
  <si>
    <t xml:space="preserve">オーロラビーム</t>
  </si>
  <si>
    <t xml:space="preserve">ふたごじま</t>
  </si>
  <si>
    <t xml:space="preserve">ジュゴン</t>
  </si>
  <si>
    <t xml:space="preserve">うるおいボディ：雨のとき、ラウンド終了時に状態異常が治る</t>
  </si>
  <si>
    <t xml:space="preserve">つららばり</t>
  </si>
  <si>
    <t xml:space="preserve">れいとうビーム</t>
  </si>
  <si>
    <t xml:space="preserve">ふぶき</t>
  </si>
  <si>
    <t xml:space="preserve">ベトベター</t>
  </si>
  <si>
    <t xml:space="preserve">ポケモンやしき、ロケット団アジト</t>
  </si>
  <si>
    <t xml:space="preserve">ベトベトン</t>
  </si>
  <si>
    <t xml:space="preserve">ポケモンやしき</t>
  </si>
  <si>
    <t xml:space="preserve">シェルダー</t>
  </si>
  <si>
    <t xml:space="preserve">各地の海（つり）</t>
  </si>
  <si>
    <t xml:space="preserve">パルシェン</t>
  </si>
  <si>
    <t xml:space="preserve">つららおとし</t>
  </si>
  <si>
    <t xml:space="preserve">ゴース</t>
  </si>
  <si>
    <t xml:space="preserve">したでなめる</t>
  </si>
  <si>
    <t xml:space="preserve">ナイトヘッド</t>
  </si>
  <si>
    <t xml:space="preserve">シャドーボール</t>
  </si>
  <si>
    <t xml:space="preserve">ポケモンタワー</t>
  </si>
  <si>
    <t xml:space="preserve">ゴースト</t>
  </si>
  <si>
    <t xml:space="preserve">シャドークロー</t>
  </si>
  <si>
    <t xml:space="preserve">たたりめ</t>
  </si>
  <si>
    <t xml:space="preserve">ゲンガー</t>
  </si>
  <si>
    <t xml:space="preserve">のろわれボディ：接触攻撃を受けてガードに失敗したとき、20%相手をまひにする</t>
  </si>
  <si>
    <t xml:space="preserve">ゴーストダイブ</t>
  </si>
  <si>
    <t xml:space="preserve">イワーク</t>
  </si>
  <si>
    <t xml:space="preserve">イワヤマトンネル、
ハナダの洞窟</t>
  </si>
  <si>
    <t xml:space="preserve">ハガネール</t>
  </si>
  <si>
    <t xml:space="preserve">アイアンテール</t>
  </si>
  <si>
    <t xml:space="preserve">ビリリダマ</t>
  </si>
  <si>
    <t xml:space="preserve">マルマイン</t>
  </si>
  <si>
    <t xml:space="preserve">タマタマ</t>
  </si>
  <si>
    <t xml:space="preserve">ナッシー</t>
  </si>
  <si>
    <t xml:space="preserve">カラカラ</t>
  </si>
  <si>
    <t xml:space="preserve">ほねブーメラン</t>
  </si>
  <si>
    <t xml:space="preserve">ポケモンタワー、
ポケモンやしき</t>
  </si>
  <si>
    <t xml:space="preserve">ガラガラ</t>
  </si>
  <si>
    <t xml:space="preserve">カブトアーマー：急所に当たらない</t>
  </si>
  <si>
    <t xml:space="preserve">サワムラー</t>
  </si>
  <si>
    <t xml:space="preserve">かかとおとし</t>
  </si>
  <si>
    <r>
      <rPr>
        <sz val="11"/>
        <color theme="1"/>
        <rFont val="ＭＳ ゴシック"/>
        <family val="3"/>
        <charset val="128"/>
      </rPr>
      <t xml:space="preserve">20%</t>
    </r>
    <r>
      <rPr>
        <sz val="11"/>
        <color theme="1"/>
        <rFont val="Noto Sans CJK SC"/>
        <family val="2"/>
      </rPr>
      <t xml:space="preserve">でまひにする</t>
    </r>
  </si>
  <si>
    <t xml:space="preserve">メガトンキック</t>
  </si>
  <si>
    <t xml:space="preserve">エビワラー</t>
  </si>
  <si>
    <t xml:space="preserve">マッハパンチ</t>
  </si>
  <si>
    <r>
      <rPr>
        <sz val="11"/>
        <color theme="1"/>
        <rFont val="ＭＳ ゴシック"/>
        <family val="3"/>
        <charset val="128"/>
      </rPr>
      <t xml:space="preserve">20%</t>
    </r>
    <r>
      <rPr>
        <sz val="11"/>
        <color theme="1"/>
        <rFont val="Noto Sans CJK SC"/>
        <family val="2"/>
      </rPr>
      <t xml:space="preserve">相手の素早さを</t>
    </r>
    <r>
      <rPr>
        <sz val="11"/>
        <color theme="1"/>
        <rFont val="ＭＳ ゴシック"/>
        <family val="3"/>
        <charset val="128"/>
      </rPr>
      <t xml:space="preserve">1</t>
    </r>
    <r>
      <rPr>
        <sz val="11"/>
        <color theme="1"/>
        <rFont val="Noto Sans CJK SC"/>
        <family val="2"/>
      </rPr>
      <t xml:space="preserve">段階下げる</t>
    </r>
  </si>
  <si>
    <t xml:space="preserve">メガトンパンチ</t>
  </si>
  <si>
    <t xml:space="preserve">ベロリンガ</t>
  </si>
  <si>
    <t xml:space="preserve">ベルベルト</t>
  </si>
  <si>
    <t xml:space="preserve">ジャイロボール</t>
  </si>
  <si>
    <t xml:space="preserve">後攻であれば攻撃力1.3倍</t>
  </si>
  <si>
    <t xml:space="preserve">はかいこうせん</t>
  </si>
  <si>
    <t xml:space="preserve">ドガース</t>
  </si>
  <si>
    <t xml:space="preserve">マタドガス</t>
  </si>
  <si>
    <t xml:space="preserve">かがくへんかガス：このポケモンが出ている間、相手の特性が無効になる</t>
  </si>
  <si>
    <t xml:space="preserve">サイホーン</t>
  </si>
  <si>
    <t xml:space="preserve">サイドン</t>
  </si>
  <si>
    <t xml:space="preserve">ドサイドン</t>
  </si>
  <si>
    <t xml:space="preserve">ひらいしん：雷タイプの攻撃を受けない。受けたとき、とくこうが1段階上がる</t>
  </si>
  <si>
    <t xml:space="preserve">ラッキー</t>
  </si>
  <si>
    <t xml:space="preserve">たまごばくだん</t>
  </si>
  <si>
    <t xml:space="preserve">ハピナス</t>
  </si>
  <si>
    <t xml:space="preserve">おんがえし</t>
  </si>
  <si>
    <t xml:space="preserve">モンジャラ</t>
  </si>
  <si>
    <t xml:space="preserve">サファリゾーン、21番水道</t>
  </si>
  <si>
    <t xml:space="preserve">モジャンボ</t>
  </si>
  <si>
    <t xml:space="preserve">リーフガード：晴れのとき、状態異常にならない</t>
  </si>
  <si>
    <t xml:space="preserve">ガルーラ</t>
  </si>
  <si>
    <t xml:space="preserve">タッツー</t>
  </si>
  <si>
    <r>
      <rPr>
        <sz val="10"/>
        <rFont val="ＭＳ Ｐゴシック"/>
        <family val="3"/>
        <charset val="128"/>
      </rPr>
      <t xml:space="preserve">19</t>
    </r>
    <r>
      <rPr>
        <sz val="10"/>
        <rFont val="Noto Sans CJK SC"/>
        <family val="2"/>
      </rPr>
      <t xml:space="preserve">〜</t>
    </r>
    <r>
      <rPr>
        <sz val="10"/>
        <rFont val="ＭＳ Ｐゴシック"/>
        <family val="3"/>
        <charset val="128"/>
      </rPr>
      <t xml:space="preserve">21</t>
    </r>
    <r>
      <rPr>
        <sz val="10"/>
        <rFont val="Noto Sans CJK SC"/>
        <family val="2"/>
      </rPr>
      <t xml:space="preserve">番水道（つり）</t>
    </r>
  </si>
  <si>
    <t xml:space="preserve">シードラ</t>
  </si>
  <si>
    <t xml:space="preserve">キングドラ</t>
  </si>
  <si>
    <t xml:space="preserve">りゅうせいぐん</t>
  </si>
  <si>
    <t xml:space="preserve">トサキント</t>
  </si>
  <si>
    <t xml:space="preserve">アズマオウ</t>
  </si>
  <si>
    <r>
      <rPr>
        <sz val="11"/>
        <color theme="1"/>
        <rFont val="ＭＳ Ｐゴシック"/>
        <family val="3"/>
        <charset val="128"/>
      </rPr>
      <t xml:space="preserve">20%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</si>
  <si>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ヒトデマン</t>
  </si>
  <si>
    <t xml:space="preserve">スターミー</t>
  </si>
  <si>
    <t xml:space="preserve">バリヤード</t>
  </si>
  <si>
    <t xml:space="preserve">ストライク</t>
  </si>
  <si>
    <t xml:space="preserve">むしのさざめき</t>
  </si>
  <si>
    <t xml:space="preserve">メガホーン</t>
  </si>
  <si>
    <t xml:space="preserve">サファリゾーン（赤のみ）</t>
  </si>
  <si>
    <t xml:space="preserve">ハッサム</t>
  </si>
  <si>
    <t xml:space="preserve">バレットパンチ</t>
  </si>
  <si>
    <t xml:space="preserve">エレブー</t>
  </si>
  <si>
    <t xml:space="preserve">むじんはつでんしょ（赤のみ）</t>
  </si>
  <si>
    <t xml:space="preserve">エレキブル</t>
  </si>
  <si>
    <t xml:space="preserve">でんきエンジン：雷タイプの攻撃を受けない。受けたとき、すばやさが1段階上がる</t>
  </si>
  <si>
    <t xml:space="preserve">ブーバー</t>
  </si>
  <si>
    <t xml:space="preserve">ポケモンやしき（緑のみ）</t>
  </si>
  <si>
    <t xml:space="preserve">ブーバーン</t>
  </si>
  <si>
    <t xml:space="preserve">カイロス</t>
  </si>
  <si>
    <t xml:space="preserve">サファリゾーン（緑のみ）</t>
  </si>
  <si>
    <t xml:space="preserve">ケンタロス</t>
  </si>
  <si>
    <t xml:space="preserve">ギガインパクト</t>
  </si>
  <si>
    <t xml:space="preserve">コイキング</t>
  </si>
  <si>
    <t xml:space="preserve">ギャラドス</t>
  </si>
  <si>
    <t xml:space="preserve">じしんかじょう：相手のポケモンを倒したとき、こうげきが1段階上がる</t>
  </si>
  <si>
    <t xml:space="preserve">ラプラス</t>
  </si>
  <si>
    <t xml:space="preserve">メタモン</t>
  </si>
  <si>
    <t xml:space="preserve">へんしん：必ず先行になり相手のポケモンに変身する。その代わりこのポケモンは必殺技が選べない</t>
  </si>
  <si>
    <t xml:space="preserve">あいての攻撃の技</t>
  </si>
  <si>
    <t xml:space="preserve">相手のこうげきの効果</t>
  </si>
  <si>
    <t xml:space="preserve">相手のとくこうの技</t>
  </si>
  <si>
    <t xml:space="preserve">相手のとくこうの効果</t>
  </si>
  <si>
    <t xml:space="preserve">ポケモンやしき、13〜15番道路</t>
  </si>
  <si>
    <t xml:space="preserve">イーブイ</t>
  </si>
  <si>
    <t xml:space="preserve">みずのいし=シャワーズ
かみなりのいし=サンダース
ほのおのいし＝ブースター
リーフのいし＝リーフィア
こおりのいし＝グレイシア
たいようのいし＝エーフィー
つきのいし＝ブラッキー
先頭にして20ターン経過＝ニンフィア</t>
  </si>
  <si>
    <t xml:space="preserve">タマムシデパート屋上
ポケモンやしき、13〜15番道路</t>
  </si>
  <si>
    <t xml:space="preserve">シャワーズ</t>
  </si>
  <si>
    <t xml:space="preserve">サンダース</t>
  </si>
  <si>
    <t xml:space="preserve">ブースター</t>
  </si>
  <si>
    <t xml:space="preserve">エーフィー</t>
  </si>
  <si>
    <t xml:space="preserve">ブラッキー</t>
  </si>
  <si>
    <t xml:space="preserve">かみくだく</t>
  </si>
  <si>
    <t xml:space="preserve">あくのはどう</t>
  </si>
  <si>
    <t xml:space="preserve">ナイトバースト</t>
  </si>
  <si>
    <t xml:space="preserve">リーフィア</t>
  </si>
  <si>
    <t xml:space="preserve">グレイシア</t>
  </si>
  <si>
    <t xml:space="preserve">ニンフィア</t>
  </si>
  <si>
    <t xml:space="preserve">ポリゴン</t>
  </si>
  <si>
    <t xml:space="preserve">ポリゴンツー</t>
  </si>
  <si>
    <t xml:space="preserve">ポリゴンZ</t>
  </si>
  <si>
    <t xml:space="preserve">アナライズ：後攻のとき、攻撃のダメージが1.3倍</t>
  </si>
  <si>
    <t xml:space="preserve">オムナイト</t>
  </si>
  <si>
    <t xml:space="preserve">オムスター</t>
  </si>
  <si>
    <t xml:space="preserve">くだけるよろい：接触攻撃を受けてガードに失敗したとき、すばやさが1段階上がる</t>
  </si>
  <si>
    <t xml:space="preserve">カブト</t>
  </si>
  <si>
    <t xml:space="preserve">カブトプス</t>
  </si>
  <si>
    <t xml:space="preserve">プテラ</t>
  </si>
  <si>
    <t xml:space="preserve">ブレイブバード</t>
  </si>
  <si>
    <t xml:space="preserve">ぼうふう</t>
  </si>
  <si>
    <t xml:space="preserve">ゴッドバード</t>
  </si>
  <si>
    <t xml:space="preserve">カビゴン</t>
  </si>
  <si>
    <r>
      <rPr>
        <sz val="10"/>
        <rFont val="ＭＳ Ｐゴシック"/>
        <family val="3"/>
        <charset val="128"/>
      </rPr>
      <t xml:space="preserve">12</t>
    </r>
    <r>
      <rPr>
        <sz val="10"/>
        <rFont val="Noto Sans CJK SC"/>
        <family val="2"/>
      </rPr>
      <t xml:space="preserve">番道路、</t>
    </r>
    <r>
      <rPr>
        <sz val="10"/>
        <rFont val="ＭＳ Ｐゴシック"/>
        <family val="3"/>
        <charset val="128"/>
      </rPr>
      <t xml:space="preserve">16</t>
    </r>
    <r>
      <rPr>
        <sz val="10"/>
        <rFont val="Noto Sans CJK SC"/>
        <family val="2"/>
      </rPr>
      <t xml:space="preserve">番道路</t>
    </r>
  </si>
  <si>
    <t xml:space="preserve">フリーザー</t>
  </si>
  <si>
    <t xml:space="preserve">サンダー</t>
  </si>
  <si>
    <t xml:space="preserve">ファイヤー</t>
  </si>
  <si>
    <t xml:space="preserve">ミニリュウ</t>
  </si>
  <si>
    <t xml:space="preserve">ドラゴンテール</t>
  </si>
  <si>
    <t xml:space="preserve">りゅうのいぶき</t>
  </si>
  <si>
    <t xml:space="preserve">たつまき</t>
  </si>
  <si>
    <t xml:space="preserve">サファリゾーン 水マス</t>
  </si>
  <si>
    <t xml:space="preserve">ハクリュー</t>
  </si>
  <si>
    <t xml:space="preserve">ドラゴンクロー</t>
  </si>
  <si>
    <t xml:space="preserve">りゅうのはどう</t>
  </si>
  <si>
    <t xml:space="preserve">ドラゴンダイブ</t>
  </si>
  <si>
    <t xml:space="preserve">カイリュー</t>
  </si>
  <si>
    <t xml:space="preserve">げきりん</t>
  </si>
  <si>
    <t xml:space="preserve">ミュウツー</t>
  </si>
  <si>
    <t xml:space="preserve">サイコブレイク</t>
  </si>
  <si>
    <t xml:space="preserve">ハナダの洞窟奥</t>
  </si>
  <si>
    <t xml:space="preserve">ミュウ</t>
  </si>
  <si>
    <t xml:space="preserve">不思議な島 奥</t>
  </si>
  <si>
    <t xml:space="preserve">デオキシス</t>
  </si>
  <si>
    <t xml:space="preserve">サイコブースト</t>
  </si>
  <si>
    <t xml:space="preserve">ヨーギラス</t>
  </si>
  <si>
    <t xml:space="preserve">かみつく</t>
  </si>
  <si>
    <t xml:space="preserve">バークアウト</t>
  </si>
  <si>
    <t xml:space="preserve">ふいうち</t>
  </si>
  <si>
    <t xml:space="preserve">シロガネやま</t>
  </si>
  <si>
    <t xml:space="preserve">サナギラス</t>
  </si>
  <si>
    <t xml:space="preserve">つじぎり</t>
  </si>
  <si>
    <t xml:space="preserve">バンギラス</t>
  </si>
  <si>
    <t xml:space="preserve">すなおこし：このポケモンを出したとき、バトルの天候を砂あらしにする</t>
  </si>
  <si>
    <t xml:space="preserve">フカマル</t>
  </si>
  <si>
    <t xml:space="preserve">シロナ</t>
  </si>
  <si>
    <t xml:space="preserve">ガバイト</t>
  </si>
  <si>
    <t xml:space="preserve">ガブリアス</t>
  </si>
  <si>
    <t xml:space="preserve">タツベイ</t>
  </si>
  <si>
    <t xml:space="preserve">ゲンジ</t>
  </si>
  <si>
    <t xml:space="preserve">コモルー</t>
  </si>
  <si>
    <t xml:space="preserve">ボーマンダ</t>
  </si>
  <si>
    <t xml:space="preserve">ダンバル</t>
  </si>
  <si>
    <t xml:space="preserve">メタルクロー</t>
  </si>
  <si>
    <t xml:space="preserve">ミラーショット</t>
  </si>
  <si>
    <t xml:space="preserve">ダイゴ</t>
  </si>
  <si>
    <t xml:space="preserve">メタング</t>
  </si>
  <si>
    <t xml:space="preserve">コメットパンチ</t>
  </si>
  <si>
    <t xml:space="preserve">メタグロス</t>
  </si>
  <si>
    <t xml:space="preserve">ラルトス</t>
  </si>
  <si>
    <t xml:space="preserve">ミツル</t>
  </si>
  <si>
    <t xml:space="preserve">キルリア</t>
  </si>
  <si>
    <t xml:space="preserve">サーナイト</t>
  </si>
  <si>
    <t xml:space="preserve">シンクロ：自分がやけど・まひ・どくにされたとき、相手も同じ状態異常にする</t>
  </si>
  <si>
    <t xml:space="preserve">トゲピー</t>
  </si>
  <si>
    <t xml:space="preserve">ジョウト島</t>
  </si>
  <si>
    <t xml:space="preserve">トゲチック</t>
  </si>
  <si>
    <t xml:space="preserve">トゲキッス</t>
  </si>
  <si>
    <t xml:space="preserve">リオル</t>
  </si>
  <si>
    <t xml:space="preserve">ゲン</t>
  </si>
  <si>
    <t xml:space="preserve">ルカリオ</t>
  </si>
  <si>
    <t xml:space="preserve">ヒポポタス</t>
  </si>
  <si>
    <t xml:space="preserve">キクノ、シンオウ島</t>
  </si>
  <si>
    <t xml:space="preserve">カバルドン</t>
  </si>
  <si>
    <r>
      <rPr>
        <sz val="11"/>
        <color theme="1"/>
        <rFont val="ＭＳ Ｐゴシック"/>
        <family val="3"/>
        <charset val="128"/>
      </rPr>
      <t xml:space="preserve">10</t>
    </r>
    <r>
      <rPr>
        <sz val="11"/>
        <color theme="1"/>
        <rFont val="Noto Sans CJK SC"/>
        <family val="2"/>
      </rPr>
      <t xml:space="preserve">まんばりき</t>
    </r>
  </si>
  <si>
    <t xml:space="preserve">コリンク</t>
  </si>
  <si>
    <t xml:space="preserve">デンジ</t>
  </si>
  <si>
    <t xml:space="preserve">ルクシオ</t>
  </si>
  <si>
    <t xml:space="preserve">レントラー</t>
  </si>
  <si>
    <t xml:space="preserve">キバコ</t>
  </si>
  <si>
    <r>
      <rPr>
        <sz val="11"/>
        <color theme="1"/>
        <rFont val="ＭＳ Ｐゴシック"/>
        <family val="3"/>
        <charset val="128"/>
      </rPr>
      <t xml:space="preserve">17</t>
    </r>
    <r>
      <rPr>
        <sz val="11"/>
        <color theme="1"/>
        <rFont val="Noto Sans CJK SC"/>
        <family val="2"/>
      </rPr>
      <t xml:space="preserve">番道路、アイリス</t>
    </r>
  </si>
  <si>
    <t xml:space="preserve">オノンド</t>
  </si>
  <si>
    <t xml:space="preserve">オノノクス</t>
  </si>
  <si>
    <t xml:space="preserve">モノズ</t>
  </si>
  <si>
    <t xml:space="preserve">アイリス</t>
  </si>
  <si>
    <t xml:space="preserve">ジヘッド</t>
  </si>
  <si>
    <t xml:space="preserve">サザンドラ</t>
  </si>
  <si>
    <t xml:space="preserve">メラルバ</t>
  </si>
  <si>
    <t xml:space="preserve">アデク</t>
  </si>
  <si>
    <t xml:space="preserve">ウルガモス</t>
  </si>
  <si>
    <t xml:space="preserve">ほのおのまい</t>
  </si>
  <si>
    <t xml:space="preserve">ドラメシヤ</t>
  </si>
  <si>
    <t xml:space="preserve">ダンテ</t>
  </si>
  <si>
    <t xml:space="preserve">ドロンチ</t>
  </si>
  <si>
    <t xml:space="preserve">ドラパルト</t>
  </si>
  <si>
    <t xml:space="preserve">ドラゴンアロー</t>
  </si>
  <si>
    <t xml:space="preserve">ルギア</t>
  </si>
  <si>
    <t xml:space="preserve">エアロブラスト</t>
  </si>
  <si>
    <t xml:space="preserve">うずまき島A</t>
  </si>
  <si>
    <t xml:space="preserve">ホウオウ</t>
  </si>
  <si>
    <t xml:space="preserve">せいなるほのお</t>
  </si>
  <si>
    <t xml:space="preserve">うずまき島B</t>
  </si>
  <si>
    <t xml:space="preserve">ラティオス</t>
  </si>
  <si>
    <t xml:space="preserve">ラスターパージ</t>
  </si>
  <si>
    <t xml:space="preserve">マップ全域</t>
  </si>
  <si>
    <t xml:space="preserve">ラティアス</t>
  </si>
  <si>
    <t xml:space="preserve">ミストボール</t>
  </si>
  <si>
    <t xml:space="preserve">コータス</t>
  </si>
  <si>
    <t xml:space="preserve">ホウエン島</t>
  </si>
  <si>
    <t xml:space="preserve">ヒトモシ</t>
  </si>
  <si>
    <t xml:space="preserve">ランプラー</t>
  </si>
  <si>
    <t xml:space="preserve">シャンデラ</t>
  </si>
  <si>
    <t xml:space="preserve">ココガラ</t>
  </si>
  <si>
    <t xml:space="preserve">ホップ</t>
  </si>
  <si>
    <t xml:space="preserve">アオガラス</t>
  </si>
  <si>
    <t xml:space="preserve">アーマーガー</t>
  </si>
  <si>
    <r>
      <rPr>
        <sz val="11"/>
        <color theme="1"/>
        <rFont val="ＭＳ Ｐゴシック"/>
        <family val="3"/>
        <charset val="128"/>
      </rPr>
      <t xml:space="preserve">10%</t>
    </r>
    <r>
      <rPr>
        <sz val="11"/>
        <color theme="1"/>
        <rFont val="Noto Sans CJK SC"/>
        <family val="2"/>
      </rPr>
      <t xml:space="preserve">で自分のこうげきを</t>
    </r>
    <r>
      <rPr>
        <sz val="11"/>
        <color theme="1"/>
        <rFont val="ＭＳ Ｐゴシック"/>
        <family val="3"/>
        <charset val="128"/>
      </rPr>
      <t xml:space="preserve">1</t>
    </r>
    <r>
      <rPr>
        <sz val="11"/>
        <color theme="1"/>
        <rFont val="Noto Sans CJK SC"/>
        <family val="2"/>
      </rPr>
      <t xml:space="preserve">段階上げる</t>
    </r>
  </si>
  <si>
    <t xml:space="preserve">エアームド</t>
  </si>
  <si>
    <r>
      <rPr>
        <sz val="11"/>
        <color theme="1"/>
        <rFont val="ＭＳ Ｐゴシック"/>
        <family val="3"/>
        <charset val="128"/>
      </rPr>
      <t xml:space="preserve">10%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</si>
  <si>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ココドラ</t>
  </si>
  <si>
    <t xml:space="preserve">コドラ</t>
  </si>
  <si>
    <t xml:space="preserve">ボスゴドラ</t>
  </si>
  <si>
    <t xml:space="preserve">ヘビーボンバー</t>
  </si>
  <si>
    <t xml:space="preserve">ドーミラー</t>
  </si>
  <si>
    <t xml:space="preserve">シンオウ島</t>
  </si>
  <si>
    <t xml:space="preserve">ドータクン</t>
  </si>
  <si>
    <t xml:space="preserve">ふゆう：闘タイプの攻撃のダメージを半減する</t>
  </si>
  <si>
    <t xml:space="preserve">チョンチー</t>
  </si>
  <si>
    <t xml:space="preserve">ランターン</t>
  </si>
  <si>
    <r>
      <rPr>
        <sz val="11"/>
        <color theme="1"/>
        <rFont val="ＭＳ Ｐゴシック"/>
        <family val="3"/>
        <charset val="128"/>
      </rPr>
      <t xml:space="preserve">10%</t>
    </r>
    <r>
      <rPr>
        <sz val="11"/>
        <color theme="1"/>
        <rFont val="Noto Sans CJK SC"/>
        <family val="2"/>
      </rPr>
      <t xml:space="preserve">で相手をまひ</t>
    </r>
  </si>
  <si>
    <t xml:space="preserve">メリープ</t>
  </si>
  <si>
    <t xml:space="preserve">ミカン</t>
  </si>
  <si>
    <t xml:space="preserve">モココ</t>
  </si>
  <si>
    <t xml:space="preserve">デンリュウ</t>
  </si>
  <si>
    <t xml:space="preserve">ゼラオラ</t>
  </si>
  <si>
    <t xml:space="preserve">プラズマフィスト</t>
  </si>
  <si>
    <t xml:space="preserve">パモ</t>
  </si>
  <si>
    <t xml:space="preserve">ネモ</t>
  </si>
  <si>
    <t xml:space="preserve">パモット</t>
  </si>
  <si>
    <t xml:space="preserve">パーモット</t>
  </si>
  <si>
    <t xml:space="preserve">アブソル</t>
  </si>
  <si>
    <t xml:space="preserve">ニューラ</t>
  </si>
  <si>
    <t xml:space="preserve">シルバー</t>
  </si>
  <si>
    <t xml:space="preserve">マニューラ</t>
  </si>
  <si>
    <t xml:space="preserve">わるいてぐせ：接触攻撃を受けてガードに失敗したとき、自分がもちものを持っていなければ相手のもちものを奪う。奪ったもちものはこのバトル中だけ使え、終了後に返す</t>
  </si>
  <si>
    <t xml:space="preserve">チョロネコ</t>
  </si>
  <si>
    <t xml:space="preserve">チェレン</t>
  </si>
  <si>
    <t xml:space="preserve">レパルダス</t>
  </si>
  <si>
    <t xml:space="preserve">かるわざ：もちものを使い切るか奪われたとき、すばやさが2倍</t>
  </si>
  <si>
    <t xml:space="preserve">ミカルゲ</t>
  </si>
  <si>
    <t xml:space="preserve">ミミッキュ</t>
  </si>
  <si>
    <t xml:space="preserve">ばけのかわ：1回だけ、受けるダメージを最大HPの1/8に抑える</t>
  </si>
  <si>
    <t xml:space="preserve">マリル</t>
  </si>
  <si>
    <t xml:space="preserve">マリルリ</t>
  </si>
  <si>
    <t xml:space="preserve">クチート</t>
  </si>
  <si>
    <t xml:space="preserve">ムックル</t>
  </si>
  <si>
    <t xml:space="preserve">ジュン</t>
  </si>
  <si>
    <t xml:space="preserve">ムクバード</t>
  </si>
  <si>
    <t xml:space="preserve">ムクホーク</t>
  </si>
  <si>
    <t xml:space="preserve">チコリータ</t>
  </si>
  <si>
    <t xml:space="preserve">ベイリーフ</t>
  </si>
  <si>
    <t xml:space="preserve">メガニウム</t>
  </si>
  <si>
    <t xml:space="preserve">ヒノアラシ</t>
  </si>
  <si>
    <t xml:space="preserve">マグマラシ</t>
  </si>
  <si>
    <t xml:space="preserve">バクフーン</t>
  </si>
  <si>
    <t xml:space="preserve">ワニノコ</t>
  </si>
  <si>
    <t xml:space="preserve">アリゲイツ</t>
  </si>
  <si>
    <t xml:space="preserve">オーダイル</t>
  </si>
  <si>
    <t xml:space="preserve">キモリ</t>
  </si>
  <si>
    <t xml:space="preserve">ジュプトル</t>
  </si>
  <si>
    <t xml:space="preserve">ジュカイン</t>
  </si>
  <si>
    <t xml:space="preserve">アチャモ</t>
  </si>
  <si>
    <t xml:space="preserve">ワカシャモ</t>
  </si>
  <si>
    <t xml:space="preserve">バシャーモ</t>
  </si>
  <si>
    <t xml:space="preserve">ミズゴロウ</t>
  </si>
  <si>
    <t xml:space="preserve">ヌマクロー</t>
  </si>
  <si>
    <t xml:space="preserve">ラグラージ</t>
  </si>
  <si>
    <t xml:space="preserve">ナエトル</t>
  </si>
  <si>
    <t xml:space="preserve">ハヤシガメ</t>
  </si>
  <si>
    <t xml:space="preserve">ドダイトス</t>
  </si>
  <si>
    <t xml:space="preserve">ヒコザル</t>
  </si>
  <si>
    <t xml:space="preserve">モウカザル</t>
  </si>
  <si>
    <t xml:space="preserve">ゴウカザル</t>
  </si>
  <si>
    <t xml:space="preserve">ポッチャマ</t>
  </si>
  <si>
    <t xml:space="preserve">ポッタイシ</t>
  </si>
  <si>
    <t xml:space="preserve">エンペルト</t>
  </si>
  <si>
    <t xml:space="preserve">エンブオー</t>
  </si>
  <si>
    <t xml:space="preserve">ゲッコウガ</t>
  </si>
  <si>
    <t xml:space="preserve">ガオガエン</t>
  </si>
  <si>
    <t xml:space="preserve">ハウ</t>
  </si>
  <si>
    <t xml:space="preserve">インテレオン</t>
  </si>
  <si>
    <t xml:space="preserve">マスカーニャ</t>
  </si>
  <si>
    <t xml:space="preserve">エンテイ</t>
  </si>
  <si>
    <t xml:space="preserve">ポケニュース特番の指定道路</t>
  </si>
  <si>
    <t xml:space="preserve">スイクン</t>
  </si>
  <si>
    <t xml:space="preserve">ライコウ</t>
  </si>
  <si>
    <t xml:space="preserve">確率</t>
  </si>
  <si>
    <t xml:space="preserve">ストライキ</t>
  </si>
  <si>
    <t xml:space="preserve">ショップ、ジム、ポケモンセンターを使用できない</t>
  </si>
  <si>
    <t xml:space="preserve">セール</t>
  </si>
  <si>
    <t xml:space="preserve">ショップが3割引きでアイテムを販売する</t>
  </si>
  <si>
    <t xml:space="preserve">突発バトルイベント</t>
  </si>
  <si>
    <t xml:space="preserve">プレイヤー同士でミニトーナメントを開き勝つとポケベルがもらえる</t>
  </si>
  <si>
    <t xml:space="preserve">ポケニュース特番</t>
  </si>
  <si>
    <r>
      <rPr>
        <sz val="11"/>
        <color theme="1"/>
        <rFont val="ＭＳ Ｐゴシック"/>
        <family val="2"/>
        <charset val="1"/>
      </rPr>
      <t xml:space="preserve">3</t>
    </r>
    <r>
      <rPr>
        <sz val="11"/>
        <color theme="1"/>
        <rFont val="Noto Sans CJK SC"/>
        <family val="2"/>
      </rPr>
      <t xml:space="preserve">週間の間、指定された道路でラティアス、ラティオス、エンテイ、スイクン、ライコウのどれかが出る可能性がある</t>
    </r>
  </si>
  <si>
    <t xml:space="preserve">ポケニュース</t>
  </si>
  <si>
    <r>
      <rPr>
        <sz val="11"/>
        <color theme="1"/>
        <rFont val="ＭＳ Ｐゴシック"/>
        <family val="2"/>
        <charset val="1"/>
      </rPr>
      <t xml:space="preserve">3</t>
    </r>
    <r>
      <rPr>
        <sz val="11"/>
        <color theme="1"/>
        <rFont val="Noto Sans CJK SC"/>
        <family val="2"/>
      </rPr>
      <t xml:space="preserve">週間の間、指定された道路のレア枠のポケモンの遭遇確率が上がる</t>
    </r>
  </si>
  <si>
    <t xml:space="preserve">雨季</t>
  </si>
  <si>
    <r>
      <rPr>
        <sz val="11"/>
        <color theme="1"/>
        <rFont val="ＭＳ Ｐゴシック"/>
        <family val="2"/>
        <charset val="1"/>
      </rPr>
      <t xml:space="preserve">3</t>
    </r>
    <r>
      <rPr>
        <sz val="11"/>
        <color theme="1"/>
        <rFont val="Noto Sans CJK SC"/>
        <family val="2"/>
      </rPr>
      <t xml:space="preserve">週間の間、すべてのバトルの天候が雨になる</t>
    </r>
  </si>
  <si>
    <t xml:space="preserve">乾季</t>
  </si>
  <si>
    <r>
      <rPr>
        <sz val="11"/>
        <color theme="1"/>
        <rFont val="ＭＳ Ｐゴシック"/>
        <family val="2"/>
        <charset val="1"/>
      </rPr>
      <t xml:space="preserve">3</t>
    </r>
    <r>
      <rPr>
        <sz val="11"/>
        <color theme="1"/>
        <rFont val="Noto Sans CJK SC"/>
        <family val="2"/>
      </rPr>
      <t xml:space="preserve">週間の間、すべてのバトルの天候が晴れになる</t>
    </r>
  </si>
  <si>
    <t xml:space="preserve">すなあらしの日</t>
  </si>
  <si>
    <r>
      <rPr>
        <sz val="11"/>
        <color theme="1"/>
        <rFont val="ＭＳ Ｐゴシック"/>
        <family val="2"/>
        <charset val="1"/>
      </rPr>
      <t xml:space="preserve">3</t>
    </r>
    <r>
      <rPr>
        <sz val="11"/>
        <color theme="1"/>
        <rFont val="Noto Sans CJK SC"/>
        <family val="2"/>
      </rPr>
      <t xml:space="preserve">週間の間、すべてのバトルの天候が砂あらしになる</t>
    </r>
  </si>
  <si>
    <t xml:space="preserve">エリア</t>
  </si>
  <si>
    <t xml:space="preserve">解放条件</t>
  </si>
  <si>
    <t xml:space="preserve">場所</t>
  </si>
  <si>
    <t xml:space="preserve">種別</t>
  </si>
  <si>
    <t xml:space="preserve">ジム</t>
  </si>
  <si>
    <t xml:space="preserve">記入元</t>
  </si>
  <si>
    <t xml:space="preserve">エリア1</t>
  </si>
  <si>
    <t xml:space="preserve">最初から</t>
  </si>
  <si>
    <t xml:space="preserve">マサラタウン</t>
  </si>
  <si>
    <t xml:space="preserve">町</t>
  </si>
  <si>
    <t xml:space="preserve">研究室（スタート地点）</t>
  </si>
  <si>
    <t xml:space="preserve">指定</t>
  </si>
  <si>
    <t xml:space="preserve">1番道路</t>
  </si>
  <si>
    <t xml:space="preserve">道路</t>
  </si>
  <si>
    <t xml:space="preserve">トキワシティ</t>
  </si>
  <si>
    <t xml:space="preserve">トキワジム</t>
  </si>
  <si>
    <t xml:space="preserve">トキワジムはバッジ7個を取得したプレイヤーにイベントで出現する</t>
  </si>
  <si>
    <t xml:space="preserve">2番道路</t>
  </si>
  <si>
    <t xml:space="preserve">ディグダの穴の入口がある</t>
  </si>
  <si>
    <t xml:space="preserve">森</t>
  </si>
  <si>
    <t xml:space="preserve">ニビシティ</t>
  </si>
  <si>
    <t xml:space="preserve">ニビジム</t>
  </si>
  <si>
    <t xml:space="preserve">3番道路</t>
  </si>
  <si>
    <t xml:space="preserve">22番道路</t>
  </si>
  <si>
    <t xml:space="preserve">ライバルマス（シルバー、ホップ）</t>
  </si>
  <si>
    <t xml:space="preserve">23番道路</t>
  </si>
  <si>
    <t xml:space="preserve">バッジ8個</t>
  </si>
  <si>
    <t xml:space="preserve">ダンジョン</t>
  </si>
  <si>
    <t xml:space="preserve">セキエイ高原</t>
  </si>
  <si>
    <t xml:space="preserve">ライバルマス（ネモ）</t>
  </si>
  <si>
    <t xml:space="preserve">シロガネ山</t>
  </si>
  <si>
    <t xml:space="preserve">山</t>
  </si>
  <si>
    <t xml:space="preserve">エリア2</t>
  </si>
  <si>
    <t xml:space="preserve">バッジ1個</t>
  </si>
  <si>
    <t xml:space="preserve">おつきみ山</t>
  </si>
  <si>
    <t xml:space="preserve">ロケット団マス（化石が買える）</t>
  </si>
  <si>
    <t xml:space="preserve">4番道路</t>
  </si>
  <si>
    <t xml:space="preserve">ハナダシティ</t>
  </si>
  <si>
    <t xml:space="preserve">ハナダジム</t>
  </si>
  <si>
    <t xml:space="preserve">24番道路</t>
  </si>
  <si>
    <t xml:space="preserve">ライバルマス（ミツル。ゴールデンボールブリッジの手前）</t>
  </si>
  <si>
    <t xml:space="preserve">25番道路</t>
  </si>
  <si>
    <t xml:space="preserve">5番道路</t>
  </si>
  <si>
    <t xml:space="preserve">9番道路</t>
  </si>
  <si>
    <t xml:space="preserve">ハナダシティとイワヤマトンネルをつなぐ</t>
  </si>
  <si>
    <t xml:space="preserve">追加（案）</t>
  </si>
  <si>
    <t xml:space="preserve">10番道路</t>
  </si>
  <si>
    <t xml:space="preserve">シオンタウン</t>
  </si>
  <si>
    <t xml:space="preserve">別マップ</t>
  </si>
  <si>
    <t xml:space="preserve">ライバルマス（チェレン）</t>
  </si>
  <si>
    <t xml:space="preserve">エリア3</t>
  </si>
  <si>
    <t xml:space="preserve">バッジ2個</t>
  </si>
  <si>
    <t xml:space="preserve">ディグダの穴</t>
  </si>
  <si>
    <t xml:space="preserve">2番道路と11番道路をつなぐ</t>
  </si>
  <si>
    <t xml:space="preserve">クチバシティ</t>
  </si>
  <si>
    <t xml:space="preserve">クチバジム</t>
  </si>
  <si>
    <t xml:space="preserve">6番道路</t>
  </si>
  <si>
    <t xml:space="preserve">ヤマブキシティ</t>
  </si>
  <si>
    <t xml:space="preserve">ヤマブキジム</t>
  </si>
  <si>
    <t xml:space="preserve">格闘道場（からておう）。ヤマブキジムはサイキッカーの職業マスも兼ねる</t>
  </si>
  <si>
    <t xml:space="preserve">タマムシシティ</t>
  </si>
  <si>
    <t xml:space="preserve">タマムシジム</t>
  </si>
  <si>
    <t xml:space="preserve">タマムシデパート。ゲームセンターにロケット団マス（ポリゴンが買える）</t>
  </si>
  <si>
    <t xml:space="preserve">7番道路</t>
  </si>
  <si>
    <t xml:space="preserve">8番道路</t>
  </si>
  <si>
    <t xml:space="preserve">ヤマブキシティとシオンタウンをつなぐ</t>
  </si>
  <si>
    <t xml:space="preserve">11番道路</t>
  </si>
  <si>
    <t xml:space="preserve">12番道路</t>
  </si>
  <si>
    <t xml:space="preserve">サントアンヌ号</t>
  </si>
  <si>
    <t xml:space="preserve">ライバルマス（ジュン）</t>
  </si>
  <si>
    <t xml:space="preserve">シルフカンパニー</t>
  </si>
  <si>
    <t xml:space="preserve">ライバルマス（ハウ）</t>
  </si>
  <si>
    <t xml:space="preserve">ロケット団アジト</t>
  </si>
  <si>
    <t xml:space="preserve">エリア4</t>
  </si>
  <si>
    <t xml:space="preserve">バッジ5個</t>
  </si>
  <si>
    <t xml:space="preserve">13番道路</t>
  </si>
  <si>
    <t xml:space="preserve">14番道路</t>
  </si>
  <si>
    <t xml:space="preserve">15番道路</t>
  </si>
  <si>
    <t xml:space="preserve">16番道路</t>
  </si>
  <si>
    <t xml:space="preserve">17番道路</t>
  </si>
  <si>
    <t xml:space="preserve">サイクリングロード</t>
  </si>
  <si>
    <t xml:space="preserve">18番道路</t>
  </si>
  <si>
    <t xml:space="preserve">セキチクシティ</t>
  </si>
  <si>
    <t xml:space="preserve">セキチクジム</t>
  </si>
  <si>
    <t xml:space="preserve">19番水道</t>
  </si>
  <si>
    <t xml:space="preserve">水道</t>
  </si>
  <si>
    <t xml:space="preserve">20番水道</t>
  </si>
  <si>
    <t xml:space="preserve">21番水道</t>
  </si>
  <si>
    <t xml:space="preserve">グレンタウンとマサラタウンをつなぐ（エリア4とエリア1の接続）</t>
  </si>
  <si>
    <t xml:space="preserve">ふたご島</t>
  </si>
  <si>
    <t xml:space="preserve">グレンタウン</t>
  </si>
  <si>
    <t xml:space="preserve">グレンジム</t>
  </si>
  <si>
    <t xml:space="preserve">園長に金の入れ歯を渡すとだいすきくらぶ</t>
  </si>
  <si>
    <t xml:space="preserve">ポケモン屋敷</t>
  </si>
  <si>
    <t xml:space="preserve">島</t>
  </si>
  <si>
    <t xml:space="preserve">チケット</t>
  </si>
  <si>
    <t xml:space="preserve">謎のチケットで渡る（島ごとの確率は後で記入）</t>
  </si>
  <si>
    <t xml:space="preserve">不思議な島</t>
  </si>
  <si>
    <t xml:space="preserve">不思議なチケットで渡る</t>
  </si>
  <si>
    <t xml:space="preserve">区分</t>
  </si>
  <si>
    <t xml:space="preserve">キー</t>
  </si>
  <si>
    <t xml:space="preserve">項目</t>
  </si>
  <si>
    <t xml:space="preserve">値</t>
  </si>
  <si>
    <t xml:space="preserve">単位</t>
  </si>
  <si>
    <t xml:space="preserve">状態</t>
  </si>
  <si>
    <t xml:space="preserve">仕様書</t>
  </si>
  <si>
    <t xml:space="preserve">経済</t>
  </si>
  <si>
    <t xml:space="preserve">start_money</t>
  </si>
  <si>
    <t xml:space="preserve">初期所持金</t>
  </si>
  <si>
    <t xml:space="preserve">円</t>
  </si>
  <si>
    <t xml:space="preserve">確定</t>
  </si>
  <si>
    <t xml:space="preserve">1.1</t>
  </si>
  <si>
    <t xml:space="preserve">start_balls</t>
  </si>
  <si>
    <t xml:space="preserve">初期モンスターボール</t>
  </si>
  <si>
    <t xml:space="preserve">個</t>
  </si>
  <si>
    <t xml:space="preserve">yen_per_point</t>
  </si>
  <si>
    <t xml:space="preserve">1ポイントあたりの金額</t>
  </si>
  <si>
    <t xml:space="preserve">2.1</t>
  </si>
  <si>
    <t xml:space="preserve">badge_point</t>
  </si>
  <si>
    <t xml:space="preserve">バッジ1個のポイント</t>
  </si>
  <si>
    <t xml:space="preserve">p</t>
  </si>
  <si>
    <t xml:space="preserve">rocket_top_point</t>
  </si>
  <si>
    <t xml:space="preserve">ロケット団最多討伐賞</t>
  </si>
  <si>
    <t xml:space="preserve">exchange_close_weeks</t>
  </si>
  <si>
    <t xml:space="preserve">換金所が閉まる最後の週数</t>
  </si>
  <si>
    <t xml:space="preserve">週</t>
  </si>
  <si>
    <t xml:space="preserve">2.3</t>
  </si>
  <si>
    <t xml:space="preserve">lab_evolve_price</t>
  </si>
  <si>
    <t xml:space="preserve">研究室の進化サービス</t>
  </si>
  <si>
    <t xml:space="preserve">3.2.1</t>
  </si>
  <si>
    <t xml:space="preserve">dividend_interval</t>
  </si>
  <si>
    <t xml:space="preserve">配当の間隔</t>
  </si>
  <si>
    <t xml:space="preserve">5.3</t>
  </si>
  <si>
    <t xml:space="preserve">defeat_money_ratio</t>
  </si>
  <si>
    <t xml:space="preserve">敗北時に失う所持金の割合（端数切り上げ）</t>
  </si>
  <si>
    <t xml:space="preserve">倍</t>
  </si>
  <si>
    <t xml:space="preserve">7.9</t>
  </si>
  <si>
    <t xml:space="preserve">順位</t>
  </si>
  <si>
    <t xml:space="preserve">trainer_value_area1</t>
  </si>
  <si>
    <t xml:space="preserve">トレーナーマスの換算額（エリア1）</t>
  </si>
  <si>
    <t xml:space="preserve">仮</t>
  </si>
  <si>
    <t xml:space="preserve">12</t>
  </si>
  <si>
    <t xml:space="preserve">trainer_value_area2</t>
  </si>
  <si>
    <t xml:space="preserve">トレーナーマスの換算額（エリア2）</t>
  </si>
  <si>
    <t xml:space="preserve">trainer_value_area3</t>
  </si>
  <si>
    <t xml:space="preserve">トレーナーマスの換算額（エリア3）</t>
  </si>
  <si>
    <t xml:space="preserve">trainer_value_area4</t>
  </si>
  <si>
    <t xml:space="preserve">トレーナーマスの換算額（エリア4）</t>
  </si>
  <si>
    <t xml:space="preserve">rocket_value_area1</t>
  </si>
  <si>
    <t xml:space="preserve">ロケット団マスの換算額（エリア1）</t>
  </si>
  <si>
    <t xml:space="preserve">rocket_value_area2</t>
  </si>
  <si>
    <t xml:space="preserve">ロケット団マスの換算額（エリア2）</t>
  </si>
  <si>
    <t xml:space="preserve">rocket_value_area3</t>
  </si>
  <si>
    <t xml:space="preserve">ロケット団マスの換算額（エリア3）</t>
  </si>
  <si>
    <t xml:space="preserve">rocket_value_area4</t>
  </si>
  <si>
    <t xml:space="preserve">ロケット団マスの換算額（エリア4）</t>
  </si>
  <si>
    <t xml:space="preserve">weekly_event_min</t>
  </si>
  <si>
    <t xml:space="preserve">週イベントの間隔（最短）</t>
  </si>
  <si>
    <t xml:space="preserve">weekly_event_max</t>
  </si>
  <si>
    <t xml:space="preserve">週イベントの間隔（最長）</t>
  </si>
  <si>
    <t xml:space="preserve">dice_min</t>
  </si>
  <si>
    <t xml:space="preserve">サイコロの最小値</t>
  </si>
  <si>
    <t xml:space="preserve">4</t>
  </si>
  <si>
    <t xml:space="preserve">dice_max</t>
  </si>
  <si>
    <t xml:space="preserve">サイコロの最大値</t>
  </si>
  <si>
    <t xml:space="preserve">roulette_max</t>
  </si>
  <si>
    <t xml:space="preserve">ルーレットの最大個数</t>
  </si>
  <si>
    <t xml:space="preserve">8.7</t>
  </si>
  <si>
    <t xml:space="preserve">ポケモン</t>
  </si>
  <si>
    <t xml:space="preserve">party_size</t>
  </si>
  <si>
    <t xml:space="preserve">手持ちの数</t>
  </si>
  <si>
    <t xml:space="preserve">体</t>
  </si>
  <si>
    <t xml:space="preserve">6.1</t>
  </si>
  <si>
    <t xml:space="preserve">box_max</t>
  </si>
  <si>
    <t xml:space="preserve">控えの上限</t>
  </si>
  <si>
    <t xml:space="preserve">start_level</t>
  </si>
  <si>
    <t xml:space="preserve">最初のポケモンのレベル</t>
  </si>
  <si>
    <t xml:space="preserve">level_max</t>
  </si>
  <si>
    <t xml:space="preserve">レベル上限</t>
  </si>
  <si>
    <t xml:space="preserve">exp_selected</t>
  </si>
  <si>
    <t xml:space="preserve">出場したポケモンの経験値倍率</t>
  </si>
  <si>
    <t xml:space="preserve">6.6</t>
  </si>
  <si>
    <t xml:space="preserve">exp_bench</t>
  </si>
  <si>
    <t xml:space="preserve">出場していないポケモンの経験値倍率</t>
  </si>
  <si>
    <t xml:space="preserve">exp_coef</t>
  </si>
  <si>
    <t xml:space="preserve">1戦の獲得経験値の係数（係数×相手レベル²）</t>
  </si>
  <si>
    <t xml:space="preserve">案</t>
  </si>
  <si>
    <t xml:space="preserve">アイテム</t>
  </si>
  <si>
    <t xml:space="preserve">trainer_bag</t>
  </si>
  <si>
    <t xml:space="preserve">トレーナーの道具の枠</t>
  </si>
  <si>
    <t xml:space="preserve">8.1</t>
  </si>
  <si>
    <t xml:space="preserve">pokemon_bag</t>
  </si>
  <si>
    <t xml:space="preserve">ポケモンの道具の枠</t>
  </si>
  <si>
    <t xml:space="preserve">バトル</t>
  </si>
  <si>
    <t xml:space="preserve">weakness_mult</t>
  </si>
  <si>
    <t xml:space="preserve">弱点の倍率</t>
  </si>
  <si>
    <t xml:space="preserve">7.11</t>
  </si>
  <si>
    <t xml:space="preserve">type_job_mult</t>
  </si>
  <si>
    <t xml:space="preserve">タイプ職の倍率</t>
  </si>
  <si>
    <t xml:space="preserve">9.1</t>
  </si>
  <si>
    <t xml:space="preserve">guard_success_mult</t>
  </si>
  <si>
    <t xml:space="preserve">ガード成功（物理をまもる、特殊を特殊守り）</t>
  </si>
  <si>
    <t xml:space="preserve">7.3</t>
  </si>
  <si>
    <t xml:space="preserve">guard_wrong_mult</t>
  </si>
  <si>
    <t xml:space="preserve">守りを外した（物理を特殊守り、特殊をまもる）</t>
  </si>
  <si>
    <t xml:space="preserve">counter_miss_mult</t>
  </si>
  <si>
    <t xml:space="preserve">物理・特殊をカウンター</t>
  </si>
  <si>
    <t xml:space="preserve">special_through_mult</t>
  </si>
  <si>
    <t xml:space="preserve">必殺をまもる・特殊守り</t>
  </si>
  <si>
    <t xml:space="preserve">reflect_mult</t>
  </si>
  <si>
    <t xml:space="preserve">必殺をカウンター（反射）</t>
  </si>
  <si>
    <t xml:space="preserve">special_hit_rate</t>
  </si>
  <si>
    <t xml:space="preserve">必殺の命中率</t>
  </si>
  <si>
    <t xml:space="preserve">7.4</t>
  </si>
  <si>
    <t xml:space="preserve">speed_hit_clip</t>
  </si>
  <si>
    <t xml:space="preserve">すばやさによる命中補正の上限</t>
  </si>
  <si>
    <t xml:space="preserve">7.2</t>
  </si>
  <si>
    <t xml:space="preserve">crit_rate</t>
  </si>
  <si>
    <t xml:space="preserve">急所の確率</t>
  </si>
  <si>
    <t xml:space="preserve">7.16</t>
  </si>
  <si>
    <t xml:space="preserve">crit_rate_scope</t>
  </si>
  <si>
    <t xml:space="preserve">急所の確率（ピントレンズ）</t>
  </si>
  <si>
    <t xml:space="preserve">crit_mult</t>
  </si>
  <si>
    <t xml:space="preserve">急所の倍率</t>
  </si>
  <si>
    <t xml:space="preserve">rank_up1</t>
  </si>
  <si>
    <t xml:space="preserve">能力ランク＋1</t>
  </si>
  <si>
    <t xml:space="preserve">7.15</t>
  </si>
  <si>
    <t xml:space="preserve">rank_up2</t>
  </si>
  <si>
    <t xml:space="preserve">能力ランク＋2</t>
  </si>
  <si>
    <t xml:space="preserve">rank_down1</t>
  </si>
  <si>
    <t xml:space="preserve">能力ランク−1</t>
  </si>
  <si>
    <t xml:space="preserve">rank_down2</t>
  </si>
  <si>
    <t xml:space="preserve">能力ランク−2</t>
  </si>
  <si>
    <t xml:space="preserve">paralysis_skip_rate</t>
  </si>
  <si>
    <t xml:space="preserve">まひで動けない確率</t>
  </si>
  <si>
    <t xml:space="preserve">7.17</t>
  </si>
  <si>
    <t xml:space="preserve">burn_damage</t>
  </si>
  <si>
    <t xml:space="preserve">やけどのダメージ（最大HP比）</t>
  </si>
  <si>
    <t xml:space="preserve">poison_damage</t>
  </si>
  <si>
    <t xml:space="preserve">どくのダメージ（最大HP比）</t>
  </si>
  <si>
    <t xml:space="preserve">sleep_min</t>
  </si>
  <si>
    <t xml:space="preserve">ねむりの長さ（最短）</t>
  </si>
  <si>
    <t xml:space="preserve">ラウンド</t>
  </si>
  <si>
    <t xml:space="preserve">sleep_max</t>
  </si>
  <si>
    <t xml:space="preserve">ねむりの長さ（最長）</t>
  </si>
  <si>
    <t xml:space="preserve">defeat_rest_rate</t>
  </si>
  <si>
    <t xml:space="preserve">敗北時に1回休みになる確率</t>
  </si>
  <si>
    <t xml:space="preserve">round_limit_quick</t>
  </si>
  <si>
    <t xml:space="preserve">ラウンド上限（クイック）</t>
  </si>
  <si>
    <t xml:space="preserve">7.1.1</t>
  </si>
  <si>
    <t xml:space="preserve">round_limit_full</t>
  </si>
  <si>
    <t xml:space="preserve">ラウンド上限（フル）</t>
  </si>
  <si>
    <t xml:space="preserve">name_max</t>
  </si>
  <si>
    <t xml:space="preserve">名前の文字数上限</t>
  </si>
  <si>
    <t xml:space="preserve">文字</t>
  </si>
  <si>
    <t xml:space="preserve">16.1</t>
  </si>
  <si>
    <t xml:space="preserve">initiative_ratio_small</t>
  </si>
  <si>
    <t xml:space="preserve">先攻カードが3枚になるすばやさの比</t>
  </si>
  <si>
    <t xml:space="preserve">7.1.2</t>
  </si>
  <si>
    <t xml:space="preserve">initiative_ratio_large</t>
  </si>
  <si>
    <t xml:space="preserve">先攻カードが4枚になるすばやさの比</t>
  </si>
  <si>
    <t xml:space="preserve">bond_hp_threshold</t>
  </si>
  <si>
    <t xml:space="preserve">絆による回避が発動するHPの割合</t>
  </si>
  <si>
    <t xml:space="preserve">7.18</t>
  </si>
  <si>
    <t xml:space="preserve">bond_evasion_bonus</t>
  </si>
  <si>
    <t xml:space="preserve">絆による回避で上がる回避率</t>
  </si>
  <si>
    <t xml:space="preserve">damage_level_offset</t>
  </si>
  <si>
    <t xml:space="preserve">基本ダメージの「レベル＋α」のα</t>
  </si>
  <si>
    <t xml:space="preserve">7.5</t>
  </si>
  <si>
    <t xml:space="preserve">damage_flat_bonus</t>
  </si>
  <si>
    <t xml:space="preserve">基本ダメージに足す値</t>
  </si>
  <si>
    <t xml:space="preserve">damage_min</t>
  </si>
  <si>
    <t xml:space="preserve">最低ダメージ</t>
  </si>
  <si>
    <t xml:space="preserve">damage_random_min</t>
  </si>
  <si>
    <t xml:space="preserve">乱数の最小（攻撃ダイス1）</t>
  </si>
  <si>
    <t xml:space="preserve">damage_random_max</t>
  </si>
  <si>
    <t xml:space="preserve">乱数の最大（攻撃ダイス10）</t>
  </si>
  <si>
    <t xml:space="preserve">gym_ace_level_1</t>
  </si>
  <si>
    <t xml:space="preserve">ジムのエースのレベル（1個目のバッジ）</t>
  </si>
  <si>
    <t xml:space="preserve">3.3</t>
  </si>
  <si>
    <t xml:space="preserve">gym_ace_level_2</t>
  </si>
  <si>
    <t xml:space="preserve">ジムのエースのレベル（2個目のバッジ）</t>
  </si>
  <si>
    <t xml:space="preserve">gym_ace_level_3</t>
  </si>
  <si>
    <t xml:space="preserve">ジムのエースのレベル（3個目のバッジ）</t>
  </si>
  <si>
    <t xml:space="preserve">gym_ace_level_4</t>
  </si>
  <si>
    <t xml:space="preserve">ジムのエースのレベル（4個目のバッジ）</t>
  </si>
  <si>
    <t xml:space="preserve">gym_ace_level_5</t>
  </si>
  <si>
    <t xml:space="preserve">ジムのエースのレベル（5個目のバッジ）</t>
  </si>
  <si>
    <t xml:space="preserve">gym_ace_level_6</t>
  </si>
  <si>
    <t xml:space="preserve">ジムのエースのレベル（6個目のバッジ）</t>
  </si>
  <si>
    <t xml:space="preserve">gym_ace_level_7</t>
  </si>
  <si>
    <t xml:space="preserve">ジムのエースのレベル（7個目のバッジ）</t>
  </si>
  <si>
    <t xml:space="preserve">gym_ace_level_8</t>
  </si>
  <si>
    <t xml:space="preserve">ジムのエースのレベル（8個目のバッジ）</t>
  </si>
  <si>
    <t xml:space="preserve">gym_level_step</t>
  </si>
  <si>
    <t xml:space="preserve">エース以外のレベルの下げ幅（1体ごと）</t>
  </si>
  <si>
    <t xml:space="preserve">ball_threshold_monster</t>
  </si>
  <si>
    <t xml:space="preserve">モンスターボールの閾値</t>
  </si>
  <si>
    <t xml:space="preserve">6.3</t>
  </si>
  <si>
    <t xml:space="preserve">ball_threshold_super</t>
  </si>
  <si>
    <t xml:space="preserve">スーパーボールの閾値</t>
  </si>
  <si>
    <t xml:space="preserve">ball_threshold_hyper</t>
  </si>
  <si>
    <t xml:space="preserve">ハイパーボールの閾値</t>
  </si>
  <si>
    <t xml:space="preserve">capture_random_max</t>
  </si>
  <si>
    <t xml:space="preserve">捕獲難度に足すランダム値の最大</t>
  </si>
  <si>
    <t xml:space="preserve">sell_ratio</t>
  </si>
  <si>
    <t xml:space="preserve">売値（価格に対する割合、端数切り捨て）</t>
  </si>
  <si>
    <t xml:space="preserve">8.9</t>
  </si>
  <si>
    <t xml:space="preserve">場面</t>
  </si>
  <si>
    <t xml:space="preserve">文言</t>
  </si>
  <si>
    <t xml:space="preserve">bond_evade_01</t>
  </si>
  <si>
    <t xml:space="preserve">バトル：絆による回避</t>
  </si>
  <si>
    <t xml:space="preserve">{ポケモン}は {トレーナー}を 悲しませないよう 技を よけた！</t>
  </si>
  <si>
    <t xml:space="preserve">記入者の案</t>
  </si>
  <si>
    <t xml:space="preserve">bond_evade_02</t>
  </si>
  <si>
    <t xml:space="preserve">{ポケモン}は {トレーナー}の 掛け声に あわせて 技を よけた！</t>
  </si>
  <si>
    <t xml:space="preserve">bond_evade_03</t>
  </si>
  <si>
    <t xml:space="preserve">{ポケモン}は {トレーナー}との 旅を 思い出し 身を かわした！</t>
  </si>
  <si>
    <t xml:space="preserve">bond_evade_04</t>
  </si>
  <si>
    <t xml:space="preserve">{ポケモン}は {トレーナー}の 声を 信じて とっさに よけた！</t>
  </si>
  <si>
    <t xml:space="preserve">bond_evade_05</t>
  </si>
  <si>
    <t xml:space="preserve">{トレーナー}の 必死の 声が とどいた！ {ポケモン}は 技を よけた！</t>
  </si>
  <si>
    <t xml:space="preserve">bond_evade_06</t>
  </si>
  <si>
    <t xml:space="preserve">{ポケモン}は まだ {トレーナー}と 旅を 続けたい！ 技を かわした！</t>
  </si>
  <si>
    <t xml:space="preserve">turn_start</t>
  </si>
  <si>
    <t xml:space="preserve">手番</t>
  </si>
  <si>
    <t xml:space="preserve">{トレーナー}の ばん！</t>
  </si>
  <si>
    <t xml:space="preserve">turn_rest</t>
  </si>
  <si>
    <t xml:space="preserve">{トレーナー}は 1回休み…</t>
  </si>
  <si>
    <t xml:space="preserve">turn_affected</t>
  </si>
  <si>
    <t xml:space="preserve">{トレーナー}が いない あいだに {内容}</t>
  </si>
  <si>
    <t xml:space="preserve">他の人の手番で自分に起きたことを、自分の手番の最初にまとめて伝える</t>
  </si>
  <si>
    <t xml:space="preserve">week_start</t>
  </si>
  <si>
    <t xml:space="preserve">{週}週目が はじまった</t>
  </si>
  <si>
    <t xml:space="preserve">week_dividend</t>
  </si>
  <si>
    <t xml:space="preserve">配当の日！ ファンから {金額}円が とどいた</t>
  </si>
  <si>
    <t xml:space="preserve">event_strike</t>
  </si>
  <si>
    <t xml:space="preserve">週イベント</t>
  </si>
  <si>
    <t xml:space="preserve">ストライキ！ ショップ・ジム・ポケモンセンターが つかえない</t>
  </si>
  <si>
    <t xml:space="preserve">event_sale</t>
  </si>
  <si>
    <t xml:space="preserve">セール！ ショップの品が 3割引き</t>
  </si>
  <si>
    <t xml:space="preserve">event_rain</t>
  </si>
  <si>
    <t xml:space="preserve">雨季が はじまった（3週間、バトルの天候が雨）</t>
  </si>
  <si>
    <t xml:space="preserve">event_sun</t>
  </si>
  <si>
    <t xml:space="preserve">乾季が はじまった（3週間、バトルの天候が晴れ）</t>
  </si>
  <si>
    <t xml:space="preserve">event_sand</t>
  </si>
  <si>
    <t xml:space="preserve">すなあらしの日（3週間、バトルの天候が砂あらし）</t>
  </si>
  <si>
    <t xml:space="preserve">notice_badge</t>
  </si>
  <si>
    <t xml:space="preserve">通知</t>
  </si>
  <si>
    <t xml:space="preserve">{トレーナー}は {バッジ}を てにいれた！</t>
  </si>
  <si>
    <t xml:space="preserve">notice_catch</t>
  </si>
  <si>
    <t xml:space="preserve">{トレーナー}は {ポケモン}を つかまえた！</t>
  </si>
  <si>
    <t xml:space="preserve">notice_evolve_1</t>
  </si>
  <si>
    <t xml:space="preserve">{ポケモン}の からだが かがやきはじめた…！</t>
  </si>
  <si>
    <t xml:space="preserve">notice_evolve_2</t>
  </si>
  <si>
    <t xml:space="preserve">{ポケモン}は {進化後}に しんかした！</t>
  </si>
  <si>
    <t xml:space="preserve">notice_owner</t>
  </si>
  <si>
    <t xml:space="preserve">{トレーナー}に あたらしい ファンが できた！</t>
  </si>
  <si>
    <t xml:space="preserve">notice_return</t>
  </si>
  <si>
    <t xml:space="preserve">{トレーナー}の 手持ちが ぜんめつ… ポケモンセンターへ もどされた</t>
  </si>
  <si>
    <t xml:space="preserve">endroll_start</t>
  </si>
  <si>
    <t xml:space="preserve">エンドロール</t>
  </si>
  <si>
    <t xml:space="preserve">{トレーナー}の たび</t>
  </si>
  <si>
    <t xml:space="preserve">endroll_meet</t>
  </si>
  <si>
    <t xml:space="preserve">{週}週目、{場所}で であった</t>
  </si>
  <si>
    <t xml:space="preserve">endroll_trade</t>
  </si>
  <si>
    <t xml:space="preserve">{週}週目、{相手}から うけとった</t>
  </si>
  <si>
    <t xml:space="preserve">endroll_first</t>
  </si>
  <si>
    <t xml:space="preserve">さいしょの パートナー</t>
  </si>
  <si>
    <t xml:space="preserve">system_pad_lost</t>
  </si>
  <si>
    <t xml:space="preserve">システム</t>
  </si>
  <si>
    <t xml:space="preserve">コントローラー{番号}の 接続が きれました。つなぎなおしてください</t>
  </si>
  <si>
    <t xml:space="preserve">一時停止中に表示</t>
  </si>
  <si>
    <t xml:space="preserve">system_load_error</t>
  </si>
  <si>
    <t xml:space="preserve">データを 読み込めませんでした：{内容}</t>
  </si>
  <si>
    <t xml:space="preserve">起動時のデータ検証で使う</t>
  </si>
  <si>
    <t xml:space="preserve">system_save_broken</t>
  </si>
  <si>
    <t xml:space="preserve">このセーブは 読み込めません。ひとつ前の 保存から 再開しますか？</t>
  </si>
  <si>
    <t xml:space="preserve">リーダー</t>
  </si>
  <si>
    <t xml:space="preserve">何個目のバッジになるか</t>
  </si>
  <si>
    <t xml:space="preserve">役割</t>
  </si>
  <si>
    <t xml:space="preserve">出す条件</t>
  </si>
  <si>
    <t xml:space="preserve">タケシ</t>
  </si>
  <si>
    <t xml:space="preserve">いわ</t>
  </si>
  <si>
    <t xml:space="preserve">1個目</t>
  </si>
  <si>
    <t xml:space="preserve">エース</t>
  </si>
  <si>
    <t xml:space="preserve">常に</t>
  </si>
  <si>
    <t xml:space="preserve">カスミ</t>
  </si>
  <si>
    <t xml:space="preserve">みず</t>
  </si>
  <si>
    <t xml:space="preserve">2個目</t>
  </si>
  <si>
    <t xml:space="preserve">マチス</t>
  </si>
  <si>
    <t xml:space="preserve">でんき</t>
  </si>
  <si>
    <t xml:space="preserve">3〜5個目</t>
  </si>
  <si>
    <t xml:space="preserve">先発</t>
  </si>
  <si>
    <t xml:space="preserve">ナツメ</t>
  </si>
  <si>
    <t xml:space="preserve">エスパー</t>
  </si>
  <si>
    <t xml:space="preserve">エリカ</t>
  </si>
  <si>
    <t xml:space="preserve">くさ</t>
  </si>
  <si>
    <t xml:space="preserve">キョウ</t>
  </si>
  <si>
    <t xml:space="preserve">どく</t>
  </si>
  <si>
    <t xml:space="preserve">6〜7個目</t>
  </si>
  <si>
    <t xml:space="preserve">中堅</t>
  </si>
  <si>
    <t xml:space="preserve">カツラ</t>
  </si>
  <si>
    <t xml:space="preserve">ほのお</t>
  </si>
  <si>
    <t xml:space="preserve">サカキ</t>
  </si>
  <si>
    <t xml:space="preserve">じめん</t>
  </si>
  <si>
    <t xml:space="preserve">8個目</t>
  </si>
  <si>
    <t xml:space="preserve">出かた</t>
  </si>
  <si>
    <t xml:space="preserve">出現率</t>
  </si>
  <si>
    <t xml:space="preserve">最低Lv</t>
  </si>
  <si>
    <t xml:space="preserve">最高Lv</t>
  </si>
  <si>
    <t xml:space="preserve">つり</t>
  </si>
  <si>
    <t xml:space="preserve">草むら</t>
  </si>
  <si>
    <t xml:space="preserve">シンボル</t>
  </si>
  <si>
    <t xml:space="preserve">盤面に1体だけ現れる。倒すか捕まえると消える（早い者勝ち）</t>
  </si>
  <si>
    <t xml:space="preserve">緑のみ</t>
  </si>
  <si>
    <t xml:space="preserve">赤のみ</t>
  </si>
  <si>
    <t xml:space="preserve">水上</t>
  </si>
  <si>
    <t xml:space="preserve">固定</t>
  </si>
  <si>
    <t xml:space="preserve">タマムシデパート屋上でもらえる</t>
  </si>
  <si>
    <t>属性</t>
  </si>
</sst>
</file>

<file path=xl/styles.xml><?xml version="1.0" encoding="utf-8"?>
<styleSheet xmlns="http://schemas.openxmlformats.org/spreadsheetml/2006/main">
  <numFmts count="6">
    <numFmt numFmtId="164" formatCode="General"/>
    <numFmt numFmtId="165" formatCode="General"/>
    <numFmt numFmtId="166" formatCode="0%"/>
    <numFmt numFmtId="167" formatCode="0.00%"/>
    <numFmt numFmtId="168" formatCode="#,##0"/>
    <numFmt numFmtId="169" formatCode="0.0000"/>
  </numFmts>
  <fonts count="27">
    <font>
      <sz val="11"/>
      <color theme="1"/>
      <name val="ＭＳ Ｐゴシック"/>
      <family val="2"/>
      <charset val="1"/>
    </font>
    <font>
      <sz val="10"/>
      <name val="Arial"/>
      <family val="0"/>
    </font>
    <font>
      <sz val="10"/>
      <name val="Arial"/>
      <family val="0"/>
    </font>
    <font>
      <sz val="10"/>
      <name val="Arial"/>
      <family val="0"/>
    </font>
    <font>
      <b val="true"/>
      <sz val="11"/>
      <name val="Noto Sans CJK SC"/>
      <family val="2"/>
      <charset val="1"/>
    </font>
    <font>
      <sz val="11"/>
      <name val="Noto Sans CJK SC"/>
      <family val="2"/>
      <charset val="1"/>
    </font>
    <font>
      <sz val="11"/>
      <name val="Meiryo"/>
      <family val="3"/>
      <charset val="128"/>
    </font>
    <font>
      <sz val="11"/>
      <name val="Noto Sans CJK SC"/>
      <family val="2"/>
    </font>
    <font>
      <sz val="11"/>
      <color rgb="FF000000"/>
      <name val="Meiryo"/>
      <family val="3"/>
      <charset val="128"/>
    </font>
    <font>
      <sz val="11"/>
      <color rgb="FF000000"/>
      <name val="Noto Sans CJK SC"/>
      <family val="2"/>
    </font>
    <font>
      <sz val="11"/>
      <color theme="1"/>
      <name val="Noto Sans CJK SC"/>
      <family val="2"/>
      <charset val="1"/>
    </font>
    <font>
      <i val="true"/>
      <sz val="10"/>
      <name val="Noto Sans CJK SC"/>
      <family val="2"/>
      <charset val="1"/>
    </font>
    <font>
      <sz val="11"/>
      <color theme="1"/>
      <name val="Noto Sans CJK SC"/>
      <family val="2"/>
    </font>
    <font>
      <sz val="11"/>
      <color rgb="FF000000"/>
      <name val="ＭＳ Ｐゴシック"/>
      <family val="2"/>
      <charset val="1"/>
    </font>
    <font>
      <sz val="11"/>
      <color rgb="FF000000"/>
      <name val="Noto Sans CJK SC"/>
      <family val="2"/>
      <charset val="1"/>
    </font>
    <font>
      <sz val="12"/>
      <color theme="1"/>
      <name val="Noto Sans CJK SC"/>
      <family val="2"/>
      <charset val="1"/>
    </font>
    <font>
      <b val="true"/>
      <sz val="11"/>
      <color theme="1"/>
      <name val="ＭＳ Ｐゴシック"/>
      <family val="3"/>
      <charset val="128"/>
    </font>
    <font>
      <b val="true"/>
      <sz val="11"/>
      <color theme="1"/>
      <name val="Noto Sans CJK SC"/>
      <family val="2"/>
      <charset val="1"/>
    </font>
    <font>
      <sz val="11"/>
      <color theme="1"/>
      <name val="ＭＳ Ｐゴシック"/>
      <family val="3"/>
      <charset val="128"/>
    </font>
    <font>
      <sz val="10"/>
      <name val="ＭＳ Ｐゴシック"/>
      <family val="3"/>
      <charset val="128"/>
    </font>
    <font>
      <sz val="10"/>
      <color rgb="FF000000"/>
      <name val="Noto Sans CJK SC"/>
      <family val="2"/>
      <charset val="1"/>
    </font>
    <font>
      <sz val="10"/>
      <name val="Meiryo"/>
      <family val="3"/>
      <charset val="128"/>
    </font>
    <font>
      <sz val="10"/>
      <name val="Noto Sans CJK SC"/>
      <family val="2"/>
      <charset val="1"/>
    </font>
    <font>
      <sz val="10"/>
      <name val="Noto Sans CJK SC"/>
      <family val="2"/>
    </font>
    <font>
      <sz val="11"/>
      <color theme="1"/>
      <name val="Noto Sans CJK SC"/>
      <family val="3"/>
      <charset val="128"/>
    </font>
    <font>
      <sz val="10"/>
      <name val="Noto Sans CJK SC"/>
      <family val="3"/>
      <charset val="128"/>
    </font>
    <font>
      <sz val="11"/>
      <color theme="1"/>
      <name val="ＭＳ ゴシック"/>
      <family val="3"/>
      <charset val="128"/>
    </font>
  </fonts>
  <fills count="6">
    <fill>
      <patternFill patternType="none"/>
    </fill>
    <fill>
      <patternFill patternType="gray125"/>
    </fill>
    <fill>
      <patternFill patternType="solid">
        <fgColor rgb="FFDDEBF7"/>
        <bgColor rgb="FFE6E0EC"/>
      </patternFill>
    </fill>
    <fill>
      <patternFill patternType="solid">
        <fgColor rgb="FFFFFF00"/>
        <bgColor rgb="FFFFFF00"/>
      </patternFill>
    </fill>
    <fill>
      <patternFill patternType="solid">
        <fgColor theme="0"/>
        <bgColor rgb="FFFFFFCC"/>
      </patternFill>
    </fill>
    <fill>
      <patternFill patternType="solid">
        <fgColor theme="7" tint="0.7998"/>
        <bgColor rgb="FFDDEBF7"/>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4" fillId="2" borderId="5" xfId="0" applyFont="true" applyBorder="true" applyAlignment="true" applyProtection="false">
      <alignment horizontal="center" vertical="center" textRotation="0" wrapText="false" indent="0" shrinkToFit="false"/>
      <protection locked="true" hidden="false"/>
    </xf>
    <xf numFmtId="164" fontId="16" fillId="0" borderId="5" xfId="0" applyFont="true" applyBorder="true" applyAlignment="true" applyProtection="false">
      <alignment horizontal="center" vertical="bottom" textRotation="0" wrapText="false" indent="0" shrinkToFit="false"/>
      <protection locked="true" hidden="false"/>
    </xf>
    <xf numFmtId="164" fontId="17" fillId="0" borderId="5" xfId="0" applyFont="true" applyBorder="true" applyAlignment="true" applyProtection="false">
      <alignment horizontal="center" vertical="bottom" textRotation="0" wrapText="false" indent="0" shrinkToFit="false"/>
      <protection locked="true" hidden="false"/>
    </xf>
    <xf numFmtId="164" fontId="18" fillId="0" borderId="5" xfId="0" applyFont="true" applyBorder="true" applyAlignment="true" applyProtection="false">
      <alignment horizontal="general" vertical="bottom" textRotation="0" wrapText="false" indent="0" shrinkToFit="false"/>
      <protection locked="true" hidden="false"/>
    </xf>
    <xf numFmtId="164" fontId="10" fillId="0" borderId="6" xfId="0" applyFont="true" applyBorder="true" applyAlignment="true" applyProtection="false">
      <alignment horizontal="center" vertical="bottom" textRotation="0" wrapText="false" indent="0" shrinkToFit="false"/>
      <protection locked="true" hidden="false"/>
    </xf>
    <xf numFmtId="164" fontId="10" fillId="0" borderId="5" xfId="0" applyFont="true" applyBorder="true" applyAlignment="true" applyProtection="false">
      <alignment horizontal="general" vertical="bottom" textRotation="0" wrapText="false" indent="0" shrinkToFit="false"/>
      <protection locked="true" hidden="false"/>
    </xf>
    <xf numFmtId="164" fontId="18" fillId="3" borderId="5" xfId="0" applyFont="true" applyBorder="true" applyAlignment="true" applyProtection="false">
      <alignment horizontal="general" vertical="bottom" textRotation="0" wrapText="false" indent="0" shrinkToFit="false"/>
      <protection locked="true" hidden="false"/>
    </xf>
    <xf numFmtId="164" fontId="10" fillId="4" borderId="5" xfId="0" applyFont="true" applyBorder="true" applyAlignment="true" applyProtection="false">
      <alignment horizontal="general" vertical="bottom" textRotation="0" wrapText="false" indent="0" shrinkToFit="false"/>
      <protection locked="true" hidden="false"/>
    </xf>
    <xf numFmtId="164" fontId="18" fillId="4" borderId="5" xfId="0" applyFont="true" applyBorder="true" applyAlignment="true" applyProtection="false">
      <alignment horizontal="general" vertical="bottom" textRotation="0" wrapText="false" indent="0" shrinkToFit="false"/>
      <protection locked="true" hidden="false"/>
    </xf>
    <xf numFmtId="164" fontId="19" fillId="0" borderId="5" xfId="0" applyFont="true" applyBorder="true" applyAlignment="true" applyProtection="false">
      <alignment horizontal="center" vertical="center" textRotation="0" wrapText="false" indent="0" shrinkToFit="false"/>
      <protection locked="true" hidden="false"/>
    </xf>
    <xf numFmtId="164" fontId="10" fillId="0" borderId="6" xfId="0" applyFont="true" applyBorder="true" applyAlignment="true" applyProtection="false">
      <alignment horizontal="general" vertical="bottom" textRotation="0" wrapText="false" indent="0" shrinkToFit="false"/>
      <protection locked="true" hidden="false"/>
    </xf>
    <xf numFmtId="165" fontId="18" fillId="5" borderId="5" xfId="0" applyFont="true" applyBorder="true" applyAlignment="true" applyProtection="false">
      <alignment horizontal="general" vertical="bottom" textRotation="0" wrapText="false" indent="0" shrinkToFit="false"/>
      <protection locked="true" hidden="false"/>
    </xf>
    <xf numFmtId="164" fontId="20" fillId="0" borderId="5"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4" fontId="22"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general" vertical="center" textRotation="0" wrapText="true" indent="0" shrinkToFit="false"/>
      <protection locked="true" hidden="false"/>
    </xf>
    <xf numFmtId="164" fontId="24" fillId="0" borderId="5" xfId="0" applyFont="true" applyBorder="true" applyAlignment="true" applyProtection="false">
      <alignment horizontal="general" vertical="bottom" textRotation="0" wrapText="false" indent="0" shrinkToFit="false"/>
      <protection locked="true" hidden="false"/>
    </xf>
    <xf numFmtId="164" fontId="25"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center" vertical="center" textRotation="0" wrapText="true" indent="0" shrinkToFit="false"/>
      <protection locked="true" hidden="false"/>
    </xf>
    <xf numFmtId="164" fontId="26" fillId="0" borderId="5" xfId="0" applyFont="true" applyBorder="true" applyAlignment="true" applyProtection="false">
      <alignment horizontal="general"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true" indent="0" shrinkToFit="false"/>
      <protection locked="true" hidden="false"/>
    </xf>
    <xf numFmtId="164" fontId="14" fillId="4" borderId="5" xfId="0" applyFont="true" applyBorder="true" applyAlignment="true" applyProtection="false">
      <alignment horizontal="general" vertical="bottom" textRotation="0" wrapText="false" indent="0" shrinkToFit="false"/>
      <protection locked="true" hidden="false"/>
    </xf>
    <xf numFmtId="164" fontId="18" fillId="0" borderId="7" xfId="0" applyFont="true" applyBorder="true" applyAlignment="true" applyProtection="false">
      <alignment horizontal="general" vertical="bottom" textRotation="0" wrapText="false" indent="0" shrinkToFit="false"/>
      <protection locked="true" hidden="false"/>
    </xf>
    <xf numFmtId="164" fontId="10" fillId="3" borderId="5"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true" indent="0" shrinkToFit="false"/>
      <protection locked="true" hidden="false"/>
    </xf>
    <xf numFmtId="168" fontId="10" fillId="0" borderId="5" xfId="0" applyFont="true" applyBorder="true" applyAlignment="true" applyProtection="false">
      <alignment horizontal="general" vertical="bottom" textRotation="0" wrapText="false" indent="0" shrinkToFit="false"/>
      <protection locked="true" hidden="false"/>
    </xf>
    <xf numFmtId="169" fontId="10" fillId="0" borderId="5" xfId="0" applyFont="true" applyBorder="tru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6" topLeftCell="A3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63"/>
    <col collapsed="false" customWidth="true" hidden="false" outlineLevel="0" max="2" min="2" style="1" width="39.38"/>
    <col collapsed="false" customWidth="true" hidden="false" outlineLevel="0" max="3" min="3" style="1" width="55.25"/>
    <col collapsed="false" customWidth="true" hidden="false" outlineLevel="0" max="5" min="5" style="1" width="53.13"/>
    <col collapsed="false" customWidth="true" hidden="false" outlineLevel="0" max="6" min="6" style="1" width="7"/>
    <col collapsed="false" customWidth="true" hidden="false" outlineLevel="0" max="7" min="7" style="1" width="8"/>
    <col collapsed="false" customWidth="true" hidden="false" outlineLevel="0" max="8" min="8" style="1" width="9"/>
  </cols>
  <sheetData>
    <row r="1" customFormat="false" ht="18.75" hidden="false" customHeight="true" outlineLevel="0" collapsed="false">
      <c r="A1" s="2" t="s">
        <v>0</v>
      </c>
      <c r="B1" s="2" t="s">
        <v>1</v>
      </c>
      <c r="C1" s="2" t="s">
        <v>2</v>
      </c>
      <c r="D1" s="2" t="s">
        <v>3</v>
      </c>
      <c r="E1" s="2" t="s">
        <v>4</v>
      </c>
      <c r="F1" s="2" t="s">
        <v>5</v>
      </c>
      <c r="G1" s="2" t="s">
        <v>6</v>
      </c>
      <c r="H1" s="2" t="s">
        <v>7</v>
      </c>
    </row>
    <row r="2" customFormat="false" ht="18.75" hidden="false" customHeight="true" outlineLevel="0" collapsed="false">
      <c r="A2" s="3" t="s">
        <v>8</v>
      </c>
      <c r="B2" s="3" t="s">
        <v>9</v>
      </c>
      <c r="C2" s="4" t="s">
        <v>10</v>
      </c>
      <c r="D2" s="4" t="n">
        <v>1000</v>
      </c>
      <c r="E2" s="3"/>
      <c r="F2" s="4" t="s">
        <v>11</v>
      </c>
      <c r="G2" s="4" t="n">
        <f aca="false">IF(D2="","",ROUNDDOWN(D2/2,0))</f>
        <v>500</v>
      </c>
      <c r="H2" s="4" t="s">
        <v>11</v>
      </c>
    </row>
    <row r="3" customFormat="false" ht="18.75" hidden="false" customHeight="true" outlineLevel="0" collapsed="false">
      <c r="A3" s="3" t="s">
        <v>8</v>
      </c>
      <c r="B3" s="3" t="s">
        <v>12</v>
      </c>
      <c r="C3" s="4" t="s">
        <v>13</v>
      </c>
      <c r="D3" s="4" t="n">
        <v>2500</v>
      </c>
      <c r="E3" s="3"/>
      <c r="F3" s="4" t="s">
        <v>11</v>
      </c>
      <c r="G3" s="4" t="n">
        <f aca="false">IF(D3="","",ROUNDDOWN(D3/2,0))</f>
        <v>1250</v>
      </c>
      <c r="H3" s="4" t="s">
        <v>11</v>
      </c>
    </row>
    <row r="4" customFormat="false" ht="18.75" hidden="false" customHeight="true" outlineLevel="0" collapsed="false">
      <c r="A4" s="3" t="s">
        <v>8</v>
      </c>
      <c r="B4" s="3" t="s">
        <v>14</v>
      </c>
      <c r="C4" s="4" t="s">
        <v>15</v>
      </c>
      <c r="D4" s="4" t="n">
        <v>5000</v>
      </c>
      <c r="E4" s="3"/>
      <c r="F4" s="4" t="s">
        <v>11</v>
      </c>
      <c r="G4" s="4" t="n">
        <f aca="false">IF(D4="","",ROUNDDOWN(D4/2,0))</f>
        <v>2500</v>
      </c>
      <c r="H4" s="4" t="s">
        <v>11</v>
      </c>
    </row>
    <row r="5" customFormat="false" ht="18.75" hidden="false" customHeight="true" outlineLevel="0" collapsed="false">
      <c r="A5" s="3" t="s">
        <v>8</v>
      </c>
      <c r="B5" s="3" t="s">
        <v>16</v>
      </c>
      <c r="C5" s="4" t="s">
        <v>17</v>
      </c>
      <c r="D5" s="4" t="n">
        <v>4000</v>
      </c>
      <c r="E5" s="3"/>
      <c r="F5" s="4" t="s">
        <v>11</v>
      </c>
      <c r="G5" s="4" t="n">
        <f aca="false">IF(D5="","",ROUNDDOWN(D5/2,0))</f>
        <v>2000</v>
      </c>
      <c r="H5" s="4" t="s">
        <v>11</v>
      </c>
    </row>
    <row r="6" customFormat="false" ht="18.75" hidden="false" customHeight="true" outlineLevel="0" collapsed="false">
      <c r="A6" s="3" t="s">
        <v>8</v>
      </c>
      <c r="B6" s="5" t="s">
        <v>18</v>
      </c>
      <c r="C6" s="4" t="s">
        <v>19</v>
      </c>
      <c r="D6" s="4" t="n">
        <v>300</v>
      </c>
      <c r="E6" s="3"/>
      <c r="F6" s="4" t="s">
        <v>11</v>
      </c>
      <c r="G6" s="4" t="n">
        <f aca="false">IF(D6="","",ROUNDDOWN(D6/2,0))</f>
        <v>150</v>
      </c>
      <c r="H6" s="4" t="s">
        <v>11</v>
      </c>
    </row>
    <row r="7" customFormat="false" ht="18.75" hidden="false" customHeight="true" outlineLevel="0" collapsed="false">
      <c r="A7" s="3" t="s">
        <v>8</v>
      </c>
      <c r="B7" s="5" t="s">
        <v>20</v>
      </c>
      <c r="C7" s="4" t="s">
        <v>21</v>
      </c>
      <c r="D7" s="4" t="n">
        <v>500</v>
      </c>
      <c r="E7" s="3"/>
      <c r="F7" s="4" t="s">
        <v>11</v>
      </c>
      <c r="G7" s="4" t="n">
        <f aca="false">IF(D7="","",ROUNDDOWN(D7/2,0))</f>
        <v>250</v>
      </c>
      <c r="H7" s="4" t="s">
        <v>11</v>
      </c>
    </row>
    <row r="8" customFormat="false" ht="18.75" hidden="false" customHeight="true" outlineLevel="0" collapsed="false">
      <c r="A8" s="3" t="s">
        <v>8</v>
      </c>
      <c r="B8" s="5" t="s">
        <v>22</v>
      </c>
      <c r="C8" s="4" t="s">
        <v>23</v>
      </c>
      <c r="D8" s="4" t="n">
        <v>500</v>
      </c>
      <c r="E8" s="3"/>
      <c r="F8" s="4" t="s">
        <v>11</v>
      </c>
      <c r="G8" s="4" t="n">
        <f aca="false">IF(D8="","",ROUNDDOWN(D8/2,0))</f>
        <v>250</v>
      </c>
      <c r="H8" s="4" t="s">
        <v>11</v>
      </c>
    </row>
    <row r="9" customFormat="false" ht="18.75" hidden="false" customHeight="true" outlineLevel="0" collapsed="false">
      <c r="A9" s="3" t="s">
        <v>8</v>
      </c>
      <c r="B9" s="5" t="s">
        <v>24</v>
      </c>
      <c r="C9" s="4" t="s">
        <v>25</v>
      </c>
      <c r="D9" s="4" t="n">
        <v>500</v>
      </c>
      <c r="E9" s="3"/>
      <c r="F9" s="4" t="s">
        <v>11</v>
      </c>
      <c r="G9" s="4" t="n">
        <f aca="false">IF(D9="","",ROUNDDOWN(D9/2,0))</f>
        <v>250</v>
      </c>
      <c r="H9" s="4" t="s">
        <v>11</v>
      </c>
    </row>
    <row r="10" customFormat="false" ht="18.75" hidden="false" customHeight="true" outlineLevel="0" collapsed="false">
      <c r="A10" s="3" t="s">
        <v>8</v>
      </c>
      <c r="B10" s="5" t="s">
        <v>26</v>
      </c>
      <c r="C10" s="4" t="s">
        <v>27</v>
      </c>
      <c r="D10" s="4" t="n">
        <v>500</v>
      </c>
      <c r="E10" s="3"/>
      <c r="F10" s="4" t="s">
        <v>11</v>
      </c>
      <c r="G10" s="4" t="n">
        <f aca="false">IF(D10="","",ROUNDDOWN(D10/2,0))</f>
        <v>250</v>
      </c>
      <c r="H10" s="4" t="s">
        <v>11</v>
      </c>
    </row>
    <row r="11" customFormat="false" ht="18.75" hidden="false" customHeight="true" outlineLevel="0" collapsed="false">
      <c r="A11" s="3" t="s">
        <v>8</v>
      </c>
      <c r="B11" s="5" t="s">
        <v>28</v>
      </c>
      <c r="C11" s="4" t="s">
        <v>29</v>
      </c>
      <c r="D11" s="4" t="n">
        <v>500</v>
      </c>
      <c r="E11" s="3"/>
      <c r="F11" s="4" t="s">
        <v>11</v>
      </c>
      <c r="G11" s="4" t="n">
        <f aca="false">IF(D11="","",ROUNDDOWN(D11/2,0))</f>
        <v>250</v>
      </c>
      <c r="H11" s="4" t="s">
        <v>11</v>
      </c>
    </row>
    <row r="12" customFormat="false" ht="18.75" hidden="false" customHeight="true" outlineLevel="0" collapsed="false">
      <c r="A12" s="3" t="s">
        <v>8</v>
      </c>
      <c r="B12" s="5" t="s">
        <v>30</v>
      </c>
      <c r="C12" s="4" t="s">
        <v>31</v>
      </c>
      <c r="D12" s="4" t="n">
        <v>500</v>
      </c>
      <c r="E12" s="3"/>
      <c r="F12" s="4" t="s">
        <v>11</v>
      </c>
      <c r="G12" s="4" t="n">
        <f aca="false">IF(D12="","",ROUNDDOWN(D12/2,0))</f>
        <v>250</v>
      </c>
      <c r="H12" s="4" t="s">
        <v>11</v>
      </c>
    </row>
    <row r="13" customFormat="false" ht="18.75" hidden="false" customHeight="true" outlineLevel="0" collapsed="false">
      <c r="A13" s="3" t="s">
        <v>8</v>
      </c>
      <c r="B13" s="3" t="s">
        <v>32</v>
      </c>
      <c r="C13" s="6" t="s">
        <v>33</v>
      </c>
      <c r="D13" s="6" t="n">
        <v>1500</v>
      </c>
      <c r="E13" s="3"/>
      <c r="F13" s="6" t="s">
        <v>11</v>
      </c>
      <c r="G13" s="6" t="n">
        <f aca="false">IF(D13="","",ROUNDDOWN(D13/2,0))</f>
        <v>750</v>
      </c>
      <c r="H13" s="6" t="s">
        <v>11</v>
      </c>
    </row>
    <row r="14" customFormat="false" ht="18.75" hidden="false" customHeight="true" outlineLevel="0" collapsed="false">
      <c r="A14" s="3" t="s">
        <v>8</v>
      </c>
      <c r="B14" s="3" t="s">
        <v>34</v>
      </c>
      <c r="C14" s="4" t="s">
        <v>35</v>
      </c>
      <c r="D14" s="4" t="n">
        <v>1500</v>
      </c>
      <c r="E14" s="3"/>
      <c r="F14" s="4" t="s">
        <v>11</v>
      </c>
      <c r="G14" s="4" t="n">
        <f aca="false">IF(D14="","",ROUNDDOWN(D14/2,0))</f>
        <v>750</v>
      </c>
      <c r="H14" s="4" t="s">
        <v>11</v>
      </c>
    </row>
    <row r="15" customFormat="false" ht="18.75" hidden="false" customHeight="true" outlineLevel="0" collapsed="false">
      <c r="A15" s="3" t="s">
        <v>8</v>
      </c>
      <c r="B15" s="3" t="s">
        <v>36</v>
      </c>
      <c r="C15" s="4" t="s">
        <v>37</v>
      </c>
      <c r="D15" s="4" t="n">
        <v>2500</v>
      </c>
      <c r="E15" s="3"/>
      <c r="F15" s="4" t="s">
        <v>11</v>
      </c>
      <c r="G15" s="4" t="n">
        <f aca="false">IF(D15="","",ROUNDDOWN(D15/2,0))</f>
        <v>1250</v>
      </c>
      <c r="H15" s="4" t="s">
        <v>11</v>
      </c>
    </row>
    <row r="16" customFormat="false" ht="18.75" hidden="false" customHeight="true" outlineLevel="0" collapsed="false">
      <c r="A16" s="3" t="s">
        <v>8</v>
      </c>
      <c r="B16" s="3" t="s">
        <v>38</v>
      </c>
      <c r="C16" s="4" t="s">
        <v>39</v>
      </c>
      <c r="D16" s="4" t="n">
        <v>500</v>
      </c>
      <c r="E16" s="3"/>
      <c r="F16" s="4" t="s">
        <v>11</v>
      </c>
      <c r="G16" s="4" t="n">
        <f aca="false">IF(D16="","",ROUNDDOWN(D16/2,0))</f>
        <v>250</v>
      </c>
      <c r="H16" s="4" t="s">
        <v>11</v>
      </c>
    </row>
    <row r="17" customFormat="false" ht="37.5" hidden="false" customHeight="true" outlineLevel="0" collapsed="false">
      <c r="A17" s="3" t="s">
        <v>40</v>
      </c>
      <c r="B17" s="3" t="s">
        <v>41</v>
      </c>
      <c r="C17" s="4" t="s">
        <v>42</v>
      </c>
      <c r="D17" s="4" t="n">
        <v>3000</v>
      </c>
      <c r="E17" s="3"/>
      <c r="F17" s="4" t="s">
        <v>11</v>
      </c>
      <c r="G17" s="4" t="n">
        <f aca="false">IF(D17="","",ROUNDDOWN(D17/2,0))</f>
        <v>1500</v>
      </c>
      <c r="H17" s="4" t="s">
        <v>11</v>
      </c>
    </row>
    <row r="18" customFormat="false" ht="37.5" hidden="false" customHeight="true" outlineLevel="0" collapsed="false">
      <c r="A18" s="3" t="s">
        <v>40</v>
      </c>
      <c r="B18" s="3" t="s">
        <v>43</v>
      </c>
      <c r="C18" s="4" t="s">
        <v>44</v>
      </c>
      <c r="D18" s="4" t="n">
        <v>2000</v>
      </c>
      <c r="E18" s="4" t="s">
        <v>45</v>
      </c>
      <c r="F18" s="4" t="s">
        <v>11</v>
      </c>
      <c r="G18" s="4" t="n">
        <f aca="false">IF(D18="","",ROUNDDOWN(D18/2,0))</f>
        <v>1000</v>
      </c>
      <c r="H18" s="4" t="s">
        <v>11</v>
      </c>
    </row>
    <row r="19" customFormat="false" ht="18.75" hidden="false" customHeight="true" outlineLevel="0" collapsed="false">
      <c r="A19" s="3" t="s">
        <v>40</v>
      </c>
      <c r="B19" s="3" t="s">
        <v>46</v>
      </c>
      <c r="C19" s="4" t="s">
        <v>47</v>
      </c>
      <c r="D19" s="4" t="n">
        <v>2500</v>
      </c>
      <c r="E19" s="4" t="s">
        <v>48</v>
      </c>
      <c r="F19" s="4" t="s">
        <v>11</v>
      </c>
      <c r="G19" s="4" t="n">
        <f aca="false">IF(D19="","",ROUNDDOWN(D19/2,0))</f>
        <v>1250</v>
      </c>
      <c r="H19" s="4" t="s">
        <v>11</v>
      </c>
    </row>
    <row r="20" customFormat="false" ht="37.5" hidden="false" customHeight="true" outlineLevel="0" collapsed="false">
      <c r="A20" s="3" t="s">
        <v>40</v>
      </c>
      <c r="B20" s="3" t="s">
        <v>49</v>
      </c>
      <c r="C20" s="4" t="s">
        <v>50</v>
      </c>
      <c r="D20" s="4" t="n">
        <v>3500</v>
      </c>
      <c r="E20" s="4" t="s">
        <v>51</v>
      </c>
      <c r="F20" s="4" t="s">
        <v>11</v>
      </c>
      <c r="G20" s="4" t="n">
        <f aca="false">IF(D20="","",ROUNDDOWN(D20/2,0))</f>
        <v>1750</v>
      </c>
      <c r="H20" s="4" t="s">
        <v>11</v>
      </c>
    </row>
    <row r="21" customFormat="false" ht="18.75" hidden="false" customHeight="true" outlineLevel="0" collapsed="false">
      <c r="A21" s="3" t="s">
        <v>40</v>
      </c>
      <c r="B21" s="3" t="s">
        <v>52</v>
      </c>
      <c r="C21" s="4" t="s">
        <v>53</v>
      </c>
      <c r="D21" s="4" t="n">
        <v>2000</v>
      </c>
      <c r="E21" s="3" t="s">
        <v>54</v>
      </c>
      <c r="F21" s="4" t="s">
        <v>11</v>
      </c>
      <c r="G21" s="4" t="n">
        <f aca="false">IF(D21="","",ROUNDDOWN(D21/2,0))</f>
        <v>1000</v>
      </c>
      <c r="H21" s="4" t="s">
        <v>11</v>
      </c>
    </row>
    <row r="22" customFormat="false" ht="18.75" hidden="false" customHeight="true" outlineLevel="0" collapsed="false">
      <c r="A22" s="3" t="s">
        <v>55</v>
      </c>
      <c r="B22" s="3" t="s">
        <v>56</v>
      </c>
      <c r="C22" s="4" t="s">
        <v>57</v>
      </c>
      <c r="D22" s="4" t="n">
        <v>1500</v>
      </c>
      <c r="E22" s="3"/>
      <c r="F22" s="4" t="s">
        <v>11</v>
      </c>
      <c r="G22" s="4" t="n">
        <f aca="false">IF(D22="","",ROUNDDOWN(D22/2,0))</f>
        <v>750</v>
      </c>
      <c r="H22" s="4" t="s">
        <v>11</v>
      </c>
    </row>
    <row r="23" customFormat="false" ht="18.75" hidden="false" customHeight="true" outlineLevel="0" collapsed="false">
      <c r="A23" s="3" t="s">
        <v>55</v>
      </c>
      <c r="B23" s="3" t="s">
        <v>58</v>
      </c>
      <c r="C23" s="4" t="s">
        <v>59</v>
      </c>
      <c r="D23" s="4" t="n">
        <v>1000</v>
      </c>
      <c r="E23" s="3"/>
      <c r="F23" s="4" t="s">
        <v>11</v>
      </c>
      <c r="G23" s="4" t="n">
        <f aca="false">IF(D23="","",ROUNDDOWN(D23/2,0))</f>
        <v>500</v>
      </c>
      <c r="H23" s="4" t="s">
        <v>11</v>
      </c>
    </row>
    <row r="24" customFormat="false" ht="18.75" hidden="false" customHeight="true" outlineLevel="0" collapsed="false">
      <c r="A24" s="3" t="s">
        <v>55</v>
      </c>
      <c r="B24" s="3" t="s">
        <v>60</v>
      </c>
      <c r="C24" s="4" t="s">
        <v>61</v>
      </c>
      <c r="D24" s="4" t="n">
        <v>1000</v>
      </c>
      <c r="E24" s="3"/>
      <c r="F24" s="4" t="s">
        <v>11</v>
      </c>
      <c r="G24" s="4" t="n">
        <f aca="false">IF(D24="","",ROUNDDOWN(D24/2,0))</f>
        <v>500</v>
      </c>
      <c r="H24" s="4" t="s">
        <v>11</v>
      </c>
    </row>
    <row r="25" customFormat="false" ht="18.75" hidden="false" customHeight="true" outlineLevel="0" collapsed="false">
      <c r="A25" s="3" t="s">
        <v>55</v>
      </c>
      <c r="B25" s="3" t="s">
        <v>62</v>
      </c>
      <c r="C25" s="4" t="s">
        <v>63</v>
      </c>
      <c r="D25" s="4" t="n">
        <v>300</v>
      </c>
      <c r="E25" s="3"/>
      <c r="F25" s="4" t="s">
        <v>11</v>
      </c>
      <c r="G25" s="4" t="n">
        <f aca="false">IF(D25="","",ROUNDDOWN(D25/2,0))</f>
        <v>150</v>
      </c>
      <c r="H25" s="4" t="s">
        <v>11</v>
      </c>
    </row>
    <row r="26" customFormat="false" ht="18.75" hidden="false" customHeight="true" outlineLevel="0" collapsed="false">
      <c r="A26" s="3" t="s">
        <v>55</v>
      </c>
      <c r="B26" s="3" t="s">
        <v>64</v>
      </c>
      <c r="C26" s="4" t="s">
        <v>65</v>
      </c>
      <c r="D26" s="4" t="n">
        <v>800</v>
      </c>
      <c r="E26" s="3"/>
      <c r="F26" s="4" t="s">
        <v>11</v>
      </c>
      <c r="G26" s="4" t="n">
        <f aca="false">IF(D26="","",ROUNDDOWN(D26/2,0))</f>
        <v>400</v>
      </c>
      <c r="H26" s="4" t="s">
        <v>11</v>
      </c>
    </row>
    <row r="27" customFormat="false" ht="18.75" hidden="false" customHeight="true" outlineLevel="0" collapsed="false">
      <c r="A27" s="3" t="s">
        <v>66</v>
      </c>
      <c r="B27" s="3" t="s">
        <v>67</v>
      </c>
      <c r="C27" s="6" t="s">
        <v>68</v>
      </c>
      <c r="D27" s="6" t="n">
        <v>300</v>
      </c>
      <c r="E27" s="3"/>
      <c r="F27" s="6" t="s">
        <v>11</v>
      </c>
      <c r="G27" s="6" t="n">
        <f aca="false">IF(D27="","",ROUNDDOWN(D27/2,0))</f>
        <v>150</v>
      </c>
      <c r="H27" s="6" t="s">
        <v>11</v>
      </c>
    </row>
    <row r="28" customFormat="false" ht="18.75" hidden="false" customHeight="true" outlineLevel="0" collapsed="false">
      <c r="A28" s="3" t="s">
        <v>66</v>
      </c>
      <c r="B28" s="3" t="s">
        <v>69</v>
      </c>
      <c r="C28" s="6" t="s">
        <v>70</v>
      </c>
      <c r="D28" s="6" t="n">
        <v>500</v>
      </c>
      <c r="E28" s="3"/>
      <c r="F28" s="6" t="s">
        <v>11</v>
      </c>
      <c r="G28" s="6" t="n">
        <f aca="false">IF(D28="","",ROUNDDOWN(D28/2,0))</f>
        <v>250</v>
      </c>
      <c r="H28" s="6" t="s">
        <v>11</v>
      </c>
    </row>
    <row r="29" customFormat="false" ht="18.75" hidden="false" customHeight="true" outlineLevel="0" collapsed="false">
      <c r="A29" s="3" t="s">
        <v>66</v>
      </c>
      <c r="B29" s="3" t="s">
        <v>71</v>
      </c>
      <c r="C29" s="6" t="s">
        <v>72</v>
      </c>
      <c r="D29" s="6" t="n">
        <v>2500</v>
      </c>
      <c r="E29" s="3"/>
      <c r="F29" s="6" t="s">
        <v>11</v>
      </c>
      <c r="G29" s="6" t="n">
        <f aca="false">IF(D29="","",ROUNDDOWN(D29/2,0))</f>
        <v>1250</v>
      </c>
      <c r="H29" s="6" t="s">
        <v>11</v>
      </c>
    </row>
    <row r="30" customFormat="false" ht="18.75" hidden="false" customHeight="true" outlineLevel="0" collapsed="false">
      <c r="A30" s="3" t="s">
        <v>66</v>
      </c>
      <c r="B30" s="3" t="s">
        <v>73</v>
      </c>
      <c r="C30" s="4" t="s">
        <v>74</v>
      </c>
      <c r="D30" s="4" t="n">
        <v>600</v>
      </c>
      <c r="E30" s="3"/>
      <c r="F30" s="4" t="s">
        <v>11</v>
      </c>
      <c r="G30" s="4" t="n">
        <f aca="false">IF(D30="","",ROUNDDOWN(D30/2,0))</f>
        <v>300</v>
      </c>
      <c r="H30" s="4" t="s">
        <v>11</v>
      </c>
    </row>
    <row r="31" customFormat="false" ht="18.75" hidden="false" customHeight="true" outlineLevel="0" collapsed="false">
      <c r="A31" s="3" t="s">
        <v>66</v>
      </c>
      <c r="B31" s="3" t="s">
        <v>75</v>
      </c>
      <c r="C31" s="4" t="s">
        <v>76</v>
      </c>
      <c r="D31" s="4" t="n">
        <v>1000</v>
      </c>
      <c r="E31" s="3"/>
      <c r="F31" s="4" t="s">
        <v>11</v>
      </c>
      <c r="G31" s="4" t="n">
        <f aca="false">IF(D31="","",ROUNDDOWN(D31/2,0))</f>
        <v>500</v>
      </c>
      <c r="H31" s="4" t="s">
        <v>11</v>
      </c>
    </row>
    <row r="32" customFormat="false" ht="18.75" hidden="false" customHeight="true" outlineLevel="0" collapsed="false">
      <c r="A32" s="3" t="s">
        <v>66</v>
      </c>
      <c r="B32" s="3" t="s">
        <v>77</v>
      </c>
      <c r="C32" s="4" t="s">
        <v>78</v>
      </c>
      <c r="D32" s="4" t="n">
        <v>4000</v>
      </c>
      <c r="E32" s="3" t="s">
        <v>79</v>
      </c>
      <c r="F32" s="4" t="s">
        <v>11</v>
      </c>
      <c r="G32" s="4" t="n">
        <f aca="false">IF(D32="","",ROUNDDOWN(D32/2,0))</f>
        <v>2000</v>
      </c>
      <c r="H32" s="4" t="s">
        <v>80</v>
      </c>
    </row>
    <row r="33" customFormat="false" ht="18.75" hidden="false" customHeight="true" outlineLevel="0" collapsed="false">
      <c r="A33" s="3" t="s">
        <v>81</v>
      </c>
      <c r="B33" s="3" t="s">
        <v>82</v>
      </c>
      <c r="C33" s="4" t="s">
        <v>83</v>
      </c>
      <c r="D33" s="4" t="n">
        <v>2000</v>
      </c>
      <c r="E33" s="3"/>
      <c r="F33" s="4" t="s">
        <v>11</v>
      </c>
      <c r="G33" s="4" t="n">
        <f aca="false">IF(D33="","",ROUNDDOWN(D33/2,0))</f>
        <v>1000</v>
      </c>
      <c r="H33" s="4" t="s">
        <v>11</v>
      </c>
    </row>
    <row r="34" customFormat="false" ht="24.75" hidden="false" customHeight="true" outlineLevel="0" collapsed="false">
      <c r="A34" s="3" t="s">
        <v>81</v>
      </c>
      <c r="B34" s="3" t="s">
        <v>84</v>
      </c>
      <c r="C34" s="4" t="s">
        <v>85</v>
      </c>
      <c r="D34" s="4" t="n">
        <v>10000</v>
      </c>
      <c r="E34" s="3" t="s">
        <v>86</v>
      </c>
      <c r="F34" s="4" t="s">
        <v>11</v>
      </c>
      <c r="G34" s="4" t="n">
        <f aca="false">IF(D34="","",ROUNDDOWN(D34/2,0))</f>
        <v>5000</v>
      </c>
      <c r="H34" s="4" t="s">
        <v>80</v>
      </c>
    </row>
    <row r="35" customFormat="false" ht="33" hidden="false" customHeight="true" outlineLevel="0" collapsed="false">
      <c r="B35" s="3" t="s">
        <v>87</v>
      </c>
      <c r="C35" s="4" t="s">
        <v>88</v>
      </c>
      <c r="D35" s="4" t="n">
        <v>15000</v>
      </c>
      <c r="E35" s="3" t="s">
        <v>79</v>
      </c>
      <c r="F35" s="4" t="s">
        <v>11</v>
      </c>
      <c r="G35" s="4" t="n">
        <f aca="false">IF(D35="","",ROUNDDOWN(D35/2,0))</f>
        <v>7500</v>
      </c>
      <c r="H35" s="4" t="s">
        <v>80</v>
      </c>
    </row>
    <row r="36" customFormat="false" ht="18.75" hidden="false" customHeight="true" outlineLevel="0" collapsed="false">
      <c r="A36" s="3" t="s">
        <v>89</v>
      </c>
      <c r="B36" s="3" t="s">
        <v>90</v>
      </c>
      <c r="C36" s="7" t="s">
        <v>91</v>
      </c>
      <c r="D36" s="7" t="n">
        <v>2000</v>
      </c>
      <c r="E36" s="3"/>
      <c r="F36" s="7" t="s">
        <v>11</v>
      </c>
      <c r="G36" s="7" t="n">
        <f aca="false">IF(D36="","",ROUNDDOWN(D36/2,0))</f>
        <v>1000</v>
      </c>
      <c r="H36" s="7" t="s">
        <v>11</v>
      </c>
    </row>
    <row r="37" customFormat="false" ht="18.75" hidden="false" customHeight="true" outlineLevel="0" collapsed="false">
      <c r="A37" s="3" t="s">
        <v>81</v>
      </c>
      <c r="B37" s="3" t="s">
        <v>92</v>
      </c>
      <c r="C37" s="4" t="s">
        <v>93</v>
      </c>
      <c r="D37" s="4"/>
      <c r="E37" s="8" t="s">
        <v>94</v>
      </c>
      <c r="F37" s="4" t="s">
        <v>80</v>
      </c>
      <c r="G37" s="4"/>
      <c r="H37" s="4" t="s">
        <v>80</v>
      </c>
    </row>
    <row r="38" customFormat="false" ht="55.5" hidden="false" customHeight="true" outlineLevel="0" collapsed="false">
      <c r="A38" s="9" t="s">
        <v>81</v>
      </c>
      <c r="B38" s="9" t="s">
        <v>95</v>
      </c>
      <c r="C38" s="10" t="s">
        <v>96</v>
      </c>
      <c r="D38" s="11"/>
      <c r="E38" s="12" t="s">
        <v>97</v>
      </c>
      <c r="F38" s="11" t="s">
        <v>80</v>
      </c>
      <c r="G38" s="11"/>
      <c r="H38" s="11" t="s">
        <v>80</v>
      </c>
    </row>
    <row r="39" customFormat="false" ht="283.5" hidden="false" customHeight="true" outlineLevel="0" collapsed="false">
      <c r="A39" s="13" t="s">
        <v>81</v>
      </c>
      <c r="B39" s="14" t="s">
        <v>98</v>
      </c>
      <c r="C39" s="11" t="s">
        <v>99</v>
      </c>
      <c r="D39" s="11"/>
      <c r="E39" s="15" t="s">
        <v>100</v>
      </c>
      <c r="F39" s="11" t="s">
        <v>80</v>
      </c>
      <c r="G39" s="11"/>
      <c r="H39" s="11" t="s">
        <v>80</v>
      </c>
    </row>
    <row r="40" customFormat="false" ht="18.75" hidden="false" customHeight="true" outlineLevel="0" collapsed="false">
      <c r="A40" s="13" t="s">
        <v>81</v>
      </c>
      <c r="B40" s="16" t="s">
        <v>101</v>
      </c>
      <c r="C40" s="17" t="s">
        <v>102</v>
      </c>
      <c r="D40" s="17" t="n">
        <v>5000</v>
      </c>
      <c r="E40" s="16" t="s">
        <v>79</v>
      </c>
      <c r="F40" s="17" t="s">
        <v>11</v>
      </c>
      <c r="G40" s="17" t="n">
        <f aca="false">IF(D40="","",ROUNDDOWN(D40/2,0))</f>
        <v>2500</v>
      </c>
      <c r="H40" s="17" t="s">
        <v>80</v>
      </c>
    </row>
    <row r="41" customFormat="false" ht="18.75" hidden="false" customHeight="true" outlineLevel="0" collapsed="false">
      <c r="A41" s="13" t="s">
        <v>81</v>
      </c>
      <c r="B41" s="16" t="s">
        <v>103</v>
      </c>
      <c r="C41" s="17" t="s">
        <v>104</v>
      </c>
      <c r="D41" s="17" t="n">
        <v>5000</v>
      </c>
      <c r="E41" s="16" t="s">
        <v>79</v>
      </c>
      <c r="F41" s="17" t="s">
        <v>11</v>
      </c>
      <c r="G41" s="17" t="n">
        <f aca="false">IF(D41="","",ROUNDDOWN(D41/2,0))</f>
        <v>2500</v>
      </c>
      <c r="H41" s="17" t="s">
        <v>80</v>
      </c>
    </row>
    <row r="42" customFormat="false" ht="18.75" hidden="false" customHeight="true" outlineLevel="0" collapsed="false">
      <c r="A42" s="13" t="s">
        <v>81</v>
      </c>
      <c r="B42" s="16" t="s">
        <v>105</v>
      </c>
      <c r="C42" s="17" t="s">
        <v>106</v>
      </c>
      <c r="D42" s="17" t="n">
        <v>5000</v>
      </c>
      <c r="E42" s="16" t="s">
        <v>107</v>
      </c>
      <c r="F42" s="17" t="s">
        <v>11</v>
      </c>
      <c r="G42" s="17" t="n">
        <f aca="false">IF(D42="","",ROUNDDOWN(D42/2,0))</f>
        <v>2500</v>
      </c>
      <c r="H42" s="17" t="s">
        <v>80</v>
      </c>
    </row>
    <row r="43" customFormat="false" ht="18.75" hidden="false" customHeight="true" outlineLevel="0" collapsed="false">
      <c r="A43" s="13" t="s">
        <v>81</v>
      </c>
      <c r="B43" s="16" t="s">
        <v>108</v>
      </c>
      <c r="C43" s="18" t="s">
        <v>109</v>
      </c>
      <c r="D43" s="18"/>
      <c r="E43" s="16" t="s">
        <v>110</v>
      </c>
      <c r="F43" s="18" t="s">
        <v>80</v>
      </c>
      <c r="G43" s="18"/>
      <c r="H43" s="18" t="s">
        <v>80</v>
      </c>
    </row>
    <row r="44" customFormat="false" ht="18.75" hidden="false" customHeight="true" outlineLevel="0" collapsed="false">
      <c r="A44" s="19" t="s">
        <v>111</v>
      </c>
      <c r="B44" s="14" t="s">
        <v>112</v>
      </c>
      <c r="D44" s="1" t="n">
        <v>2000</v>
      </c>
      <c r="E44" s="20" t="s">
        <v>113</v>
      </c>
      <c r="F44" s="1" t="s">
        <v>11</v>
      </c>
      <c r="G44" s="1" t="n">
        <f aca="false">IF(D44="","",ROUNDDOWN(D44/2,0))</f>
        <v>1000</v>
      </c>
      <c r="H44" s="1" t="s">
        <v>11</v>
      </c>
    </row>
    <row r="45" customFormat="false" ht="18.75" hidden="false" customHeight="true" outlineLevel="0" collapsed="false">
      <c r="A45" s="19" t="s">
        <v>111</v>
      </c>
      <c r="B45" s="14" t="s">
        <v>114</v>
      </c>
      <c r="D45" s="1" t="n">
        <v>2000</v>
      </c>
      <c r="E45" s="20" t="s">
        <v>113</v>
      </c>
      <c r="F45" s="1" t="s">
        <v>11</v>
      </c>
      <c r="G45" s="1" t="n">
        <f aca="false">IF(D45="","",ROUNDDOWN(D45/2,0))</f>
        <v>1000</v>
      </c>
      <c r="H45" s="1" t="s">
        <v>11</v>
      </c>
    </row>
    <row r="46" customFormat="false" ht="18.75" hidden="false" customHeight="true" outlineLevel="0" collapsed="false">
      <c r="A46" s="19" t="s">
        <v>111</v>
      </c>
      <c r="B46" s="14" t="s">
        <v>115</v>
      </c>
      <c r="D46" s="1" t="n">
        <v>2000</v>
      </c>
      <c r="E46" s="20" t="s">
        <v>113</v>
      </c>
      <c r="F46" s="1" t="s">
        <v>11</v>
      </c>
      <c r="G46" s="1" t="n">
        <f aca="false">IF(D46="","",ROUNDDOWN(D46/2,0))</f>
        <v>1000</v>
      </c>
      <c r="H46" s="1" t="s">
        <v>11</v>
      </c>
    </row>
    <row r="47" customFormat="false" ht="18.75" hidden="false" customHeight="true" outlineLevel="0" collapsed="false">
      <c r="A47" s="19" t="s">
        <v>111</v>
      </c>
      <c r="B47" s="14" t="s">
        <v>116</v>
      </c>
      <c r="D47" s="1" t="n">
        <v>2000</v>
      </c>
      <c r="E47" s="20" t="s">
        <v>113</v>
      </c>
      <c r="F47" s="1" t="s">
        <v>11</v>
      </c>
      <c r="G47" s="1" t="n">
        <f aca="false">IF(D47="","",ROUNDDOWN(D47/2,0))</f>
        <v>1000</v>
      </c>
      <c r="H47" s="1" t="s">
        <v>11</v>
      </c>
    </row>
    <row r="48" customFormat="false" ht="18.75" hidden="false" customHeight="true" outlineLevel="0" collapsed="false">
      <c r="A48" s="19" t="s">
        <v>111</v>
      </c>
      <c r="B48" s="14" t="s">
        <v>117</v>
      </c>
      <c r="D48" s="1" t="n">
        <v>2000</v>
      </c>
      <c r="E48" s="20" t="s">
        <v>113</v>
      </c>
      <c r="F48" s="1" t="s">
        <v>11</v>
      </c>
      <c r="G48" s="1" t="n">
        <f aca="false">IF(D48="","",ROUNDDOWN(D48/2,0))</f>
        <v>1000</v>
      </c>
      <c r="H48" s="1" t="s">
        <v>11</v>
      </c>
    </row>
    <row r="49" customFormat="false" ht="18.75" hidden="false" customHeight="true" outlineLevel="0" collapsed="false">
      <c r="A49" s="19" t="s">
        <v>111</v>
      </c>
      <c r="B49" s="14" t="s">
        <v>118</v>
      </c>
      <c r="D49" s="1" t="n">
        <v>2000</v>
      </c>
      <c r="E49" s="20" t="s">
        <v>113</v>
      </c>
      <c r="F49" s="1" t="s">
        <v>11</v>
      </c>
      <c r="G49" s="1" t="n">
        <f aca="false">IF(D49="","",ROUNDDOWN(D49/2,0))</f>
        <v>1000</v>
      </c>
      <c r="H49" s="1" t="s">
        <v>11</v>
      </c>
    </row>
    <row r="50" customFormat="false" ht="18.75" hidden="false" customHeight="true" outlineLevel="0" collapsed="false">
      <c r="A50" s="19" t="s">
        <v>111</v>
      </c>
      <c r="B50" s="14" t="s">
        <v>119</v>
      </c>
      <c r="D50" s="1" t="n">
        <v>2000</v>
      </c>
      <c r="E50" s="20" t="s">
        <v>113</v>
      </c>
      <c r="F50" s="1" t="s">
        <v>11</v>
      </c>
      <c r="G50" s="1" t="n">
        <f aca="false">IF(D50="","",ROUNDDOWN(D50/2,0))</f>
        <v>1000</v>
      </c>
      <c r="H50" s="1" t="s">
        <v>11</v>
      </c>
    </row>
    <row r="51" customFormat="false" ht="18.75" hidden="false" customHeight="true" outlineLevel="0" collapsed="false">
      <c r="A51" s="19" t="s">
        <v>111</v>
      </c>
      <c r="B51" s="14" t="s">
        <v>120</v>
      </c>
      <c r="D51" s="1" t="n">
        <v>3000</v>
      </c>
      <c r="E51" s="16" t="s">
        <v>79</v>
      </c>
      <c r="F51" s="1" t="s">
        <v>11</v>
      </c>
      <c r="G51" s="1" t="n">
        <f aca="false">IF(D51="","",ROUNDDOWN(D51/2,0))</f>
        <v>1500</v>
      </c>
      <c r="H51" s="1" t="s">
        <v>80</v>
      </c>
    </row>
    <row r="52" customFormat="false" ht="18.75" hidden="false" customHeight="true" outlineLevel="0" collapsed="false">
      <c r="A52" s="19" t="s">
        <v>111</v>
      </c>
      <c r="B52" s="14" t="s">
        <v>121</v>
      </c>
      <c r="D52" s="1" t="n">
        <v>3000</v>
      </c>
      <c r="E52" s="16" t="s">
        <v>79</v>
      </c>
      <c r="F52" s="1" t="s">
        <v>11</v>
      </c>
      <c r="G52" s="1" t="n">
        <f aca="false">IF(D52="","",ROUNDDOWN(D52/2,0))</f>
        <v>1500</v>
      </c>
      <c r="H52" s="1" t="s">
        <v>80</v>
      </c>
    </row>
    <row r="53" customFormat="false" ht="13.5" hidden="false" customHeight="true" outlineLevel="0" collapsed="false">
      <c r="A53" s="19" t="s">
        <v>111</v>
      </c>
      <c r="B53" s="14" t="s">
        <v>122</v>
      </c>
      <c r="D53" s="1" t="n">
        <v>3000</v>
      </c>
      <c r="E53" s="16" t="s">
        <v>79</v>
      </c>
      <c r="F53" s="1" t="s">
        <v>11</v>
      </c>
      <c r="G53" s="1" t="n">
        <f aca="false">IF(D53="","",ROUNDDOWN(D53/2,0))</f>
        <v>1500</v>
      </c>
      <c r="H53" s="1" t="s">
        <v>80</v>
      </c>
    </row>
    <row r="54" customFormat="false" ht="13.5" hidden="false" customHeight="true" outlineLevel="0" collapsed="false">
      <c r="A54" s="19" t="s">
        <v>111</v>
      </c>
      <c r="B54" s="14" t="s">
        <v>123</v>
      </c>
      <c r="C54" s="16" t="s">
        <v>124</v>
      </c>
      <c r="D54" s="16" t="n">
        <v>3000</v>
      </c>
      <c r="E54" s="16" t="s">
        <v>79</v>
      </c>
      <c r="F54" s="16" t="s">
        <v>11</v>
      </c>
      <c r="G54" s="16" t="n">
        <f aca="false">IF(D54="","",ROUNDDOWN(D54/2,0))</f>
        <v>1500</v>
      </c>
      <c r="H54" s="16" t="s">
        <v>80</v>
      </c>
    </row>
    <row r="55" customFormat="false" ht="14.25" hidden="false" customHeight="true" outlineLevel="0" collapsed="false">
      <c r="A55" s="19" t="s">
        <v>89</v>
      </c>
      <c r="B55" s="14" t="s">
        <v>125</v>
      </c>
      <c r="C55" s="16" t="s">
        <v>126</v>
      </c>
      <c r="D55" s="1" t="n">
        <v>200</v>
      </c>
      <c r="E55" s="16" t="s">
        <v>127</v>
      </c>
      <c r="F55" s="1" t="s">
        <v>11</v>
      </c>
      <c r="G55" s="1" t="n">
        <f aca="false">IF(D55="","",ROUNDDOWN(D55/2,0))</f>
        <v>100</v>
      </c>
      <c r="H55" s="1" t="s">
        <v>11</v>
      </c>
    </row>
    <row r="56" customFormat="false" ht="14.25" hidden="false" customHeight="true" outlineLevel="0" collapsed="false">
      <c r="A56" s="19" t="s">
        <v>89</v>
      </c>
      <c r="B56" s="14" t="s">
        <v>128</v>
      </c>
      <c r="C56" s="16" t="s">
        <v>129</v>
      </c>
      <c r="D56" s="1" t="n">
        <v>600</v>
      </c>
      <c r="E56" s="16" t="s">
        <v>130</v>
      </c>
      <c r="F56" s="1" t="s">
        <v>11</v>
      </c>
      <c r="G56" s="1" t="n">
        <f aca="false">IF(D56="","",ROUNDDOWN(D56/2,0))</f>
        <v>300</v>
      </c>
      <c r="H56" s="1" t="s">
        <v>11</v>
      </c>
    </row>
    <row r="57" customFormat="false" ht="14.25" hidden="false" customHeight="true" outlineLevel="0" collapsed="false">
      <c r="A57" s="19" t="s">
        <v>89</v>
      </c>
      <c r="B57" s="14" t="s">
        <v>131</v>
      </c>
      <c r="C57" s="16" t="s">
        <v>132</v>
      </c>
      <c r="D57" s="1" t="n">
        <v>1500</v>
      </c>
      <c r="E57" s="16" t="s">
        <v>133</v>
      </c>
      <c r="F57" s="1" t="s">
        <v>11</v>
      </c>
      <c r="G57" s="1" t="n">
        <f aca="false">IF(D57="","",ROUNDDOWN(D57/2,0))</f>
        <v>750</v>
      </c>
      <c r="H57" s="1" t="s">
        <v>11</v>
      </c>
    </row>
    <row r="58" customFormat="false" ht="14.25" hidden="false" customHeight="true" outlineLevel="0" collapsed="false">
      <c r="A58" s="19" t="s">
        <v>89</v>
      </c>
      <c r="B58" s="14" t="s">
        <v>134</v>
      </c>
      <c r="C58" s="16" t="s">
        <v>135</v>
      </c>
      <c r="E58" s="16" t="s">
        <v>136</v>
      </c>
      <c r="F58" s="1" t="s">
        <v>80</v>
      </c>
      <c r="H58" s="1" t="s">
        <v>80</v>
      </c>
    </row>
    <row r="59" customFormat="false" ht="14.25" hidden="false" customHeight="true" outlineLevel="0" collapsed="false">
      <c r="A59" s="19" t="s">
        <v>66</v>
      </c>
      <c r="B59" s="14" t="s">
        <v>137</v>
      </c>
      <c r="C59" s="16" t="s">
        <v>138</v>
      </c>
      <c r="D59" s="1" t="n">
        <v>250</v>
      </c>
      <c r="F59" s="1" t="s">
        <v>11</v>
      </c>
      <c r="G59" s="1" t="n">
        <f aca="false">IF(D59="","",ROUNDDOWN(D59/2,0))</f>
        <v>125</v>
      </c>
      <c r="H59" s="1" t="s">
        <v>11</v>
      </c>
    </row>
    <row r="60" customFormat="false" ht="14.25" hidden="false" customHeight="true" outlineLevel="0" collapsed="false">
      <c r="A60" s="19" t="s">
        <v>66</v>
      </c>
      <c r="B60" s="14" t="s">
        <v>139</v>
      </c>
      <c r="C60" s="16" t="s">
        <v>140</v>
      </c>
      <c r="D60" s="1" t="n">
        <v>100</v>
      </c>
      <c r="F60" s="1" t="s">
        <v>11</v>
      </c>
      <c r="G60" s="1" t="n">
        <f aca="false">IF(D60="","",ROUNDDOWN(D60/2,0))</f>
        <v>50</v>
      </c>
      <c r="H60" s="1" t="s">
        <v>11</v>
      </c>
    </row>
    <row r="61" customFormat="false" ht="18.75" hidden="false" customHeight="true" outlineLevel="0" collapsed="false">
      <c r="A61" s="19" t="s">
        <v>111</v>
      </c>
      <c r="B61" s="14" t="inlineStr">
        <is>
          <t>通信ケーブル</t>
        </is>
      </c>
      <c r="C61" s="4" t="inlineStr">
        <is>
          <t>交換で進化するポケモン（フーディン、カイリキー、ゲンガー、ゴローニャなど）を、ライバルマスで進化させられる。使い切り</t>
        </is>
      </c>
      <c r="D61" s="1" t="n">
        <v>2000</v>
      </c>
      <c r="E61" s="20" t="inlineStr">
        <is>
          <t>タマムシデパートで70週目から売られる（11.5）。価格は仮</t>
        </is>
      </c>
      <c r="F61" s="1" t="s">
        <v>11</v>
      </c>
      <c r="G61" s="1" t="n">
        <f aca="false">IF(D61="","",ROUNDDOWN(D61/2,0))</f>
        <v>1000</v>
      </c>
      <c r="H61" s="1" t="s">
        <v>11</v>
      </c>
    </row>
    <row r="62" customFormat="false" ht="13.5" hidden="false" customHeight="true" outlineLevel="0" collapsed="false">
      <c r="A62" s="19" t="inlineStr">
        <is>
          <t>化石</t>
        </is>
      </c>
      <c r="B62" s="14" t="inlineStr">
        <is>
          <t>かいのかせき</t>
        </is>
      </c>
      <c r="C62" s="4" t="inlineStr">
        <is>
          <t>ニビの博物館に預けると、決まった週数のあとにオムナイトに孵る</t>
        </is>
      </c>
      <c r="D62" s="1" t="n">
        <v>3000</v>
      </c>
      <c r="E62" s="20" t="inlineStr">
        <is>
          <t>おつきみ山のロケット団から買う</t>
        </is>
      </c>
      <c r="F62" s="1" t="inlineStr">
        <is>
          <t>○</t>
        </is>
      </c>
      <c r="G62" s="1" t="n">
        <v>1500</v>
      </c>
      <c r="H62" s="1" t="inlineStr">
        <is>
          <t>×</t>
        </is>
      </c>
    </row>
    <row r="63" customFormat="false" ht="13.5" hidden="false" customHeight="true" outlineLevel="0" collapsed="false">
      <c r="A63" s="19" t="inlineStr">
        <is>
          <t>化石</t>
        </is>
      </c>
      <c r="B63" s="14" t="inlineStr">
        <is>
          <t>こうらのかせき</t>
        </is>
      </c>
      <c r="C63" s="4" t="inlineStr">
        <is>
          <t>ニビの博物館に預けると、決まった週数のあとにカブトに孵る</t>
        </is>
      </c>
      <c r="D63" s="1" t="n">
        <v>3000</v>
      </c>
      <c r="E63" s="20" t="inlineStr">
        <is>
          <t>おつきみ山のロケット団から買う</t>
        </is>
      </c>
      <c r="F63" s="1" t="inlineStr">
        <is>
          <t>○</t>
        </is>
      </c>
      <c r="G63" s="1" t="n">
        <v>1500</v>
      </c>
      <c r="H63" s="1" t="inlineStr">
        <is>
          <t>×</t>
        </is>
      </c>
    </row>
    <row r="64" customFormat="false" ht="13.5" hidden="false" customHeight="true" outlineLevel="0" collapsed="false">
      <c r="A64" s="19" t="inlineStr">
        <is>
          <t>化石</t>
        </is>
      </c>
      <c r="B64" s="14" t="inlineStr">
        <is>
          <t>ひみつのコハク</t>
        </is>
      </c>
      <c r="C64" s="4" t="inlineStr">
        <is>
          <t>ニビの博物館に預けると、決まった週数のあとにプテラに孵る</t>
        </is>
      </c>
      <c r="D64" s="1" t="n">
        <v>5000</v>
      </c>
      <c r="E64" s="20" t="inlineStr">
        <is>
          <t>おつきみ山のロケット団から買う</t>
        </is>
      </c>
      <c r="F64" s="1" t="inlineStr">
        <is>
          <t>○</t>
        </is>
      </c>
      <c r="G64" s="1" t="n">
        <v>2500</v>
      </c>
      <c r="H64" s="1" t="inlineStr">
        <is>
          <t>×</t>
        </is>
      </c>
    </row>
  </sheetData>
  <autoFilter ref="A1:E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2890625" defaultRowHeight="13.5" zeroHeight="false" outlineLevelRow="0" outlineLevelCol="0"/>
  <cols>
    <col collapsed="false" customWidth="true" hidden="false" outlineLevel="0" max="1" min="1" style="1" width="33.25"/>
    <col collapsed="false" customWidth="true" hidden="false" outlineLevel="0" max="2" min="2" style="1" width="36.88"/>
    <col collapsed="false" customWidth="true" hidden="false" outlineLevel="0" max="3" min="3" style="1" width="39"/>
    <col collapsed="false" customWidth="true" hidden="false" outlineLevel="0" max="4" min="4" style="1" width="8"/>
    <col collapsed="false" customWidth="true" hidden="false" outlineLevel="0" max="5" min="5" style="1" width="7"/>
    <col collapsed="false" customWidth="true" hidden="false" outlineLevel="0" max="6" min="6" style="1" width="8"/>
  </cols>
  <sheetData>
    <row r="1" customFormat="false" ht="15" hidden="false" customHeight="true" outlineLevel="0" collapsed="false">
      <c r="A1" s="2" t="s">
        <v>1</v>
      </c>
      <c r="B1" s="2" t="s">
        <v>2</v>
      </c>
      <c r="C1" s="2" t="s">
        <v>4</v>
      </c>
      <c r="D1" s="2" t="s">
        <v>3</v>
      </c>
      <c r="E1" s="2" t="s">
        <v>5</v>
      </c>
      <c r="F1" s="2" t="s">
        <v>6</v>
      </c>
    </row>
    <row r="2" customFormat="false" ht="27" hidden="false" customHeight="true" outlineLevel="0" collapsed="false">
      <c r="A2" s="21" t="s">
        <v>141</v>
      </c>
      <c r="B2" s="21" t="s">
        <v>142</v>
      </c>
      <c r="C2" s="21"/>
      <c r="D2" s="21" t="n">
        <v>6000</v>
      </c>
      <c r="E2" s="21" t="s">
        <v>11</v>
      </c>
      <c r="F2" s="21" t="n">
        <f aca="false">ROUNDDOWN(D2/2,0)</f>
        <v>3000</v>
      </c>
    </row>
    <row r="3" customFormat="false" ht="27" hidden="false" customHeight="true" outlineLevel="0" collapsed="false">
      <c r="A3" s="21" t="s">
        <v>143</v>
      </c>
      <c r="B3" s="21" t="s">
        <v>144</v>
      </c>
      <c r="C3" s="21"/>
      <c r="D3" s="21" t="n">
        <v>6000</v>
      </c>
      <c r="E3" s="21" t="s">
        <v>11</v>
      </c>
      <c r="F3" s="21" t="n">
        <f aca="false">ROUNDDOWN(D3/2,0)</f>
        <v>3000</v>
      </c>
    </row>
    <row r="4" customFormat="false" ht="16.5" hidden="false" customHeight="true" outlineLevel="0" collapsed="false">
      <c r="A4" s="21" t="s">
        <v>145</v>
      </c>
      <c r="B4" s="21" t="s">
        <v>146</v>
      </c>
      <c r="C4" s="21"/>
      <c r="D4" s="21" t="n">
        <v>6000</v>
      </c>
      <c r="E4" s="21" t="s">
        <v>11</v>
      </c>
      <c r="F4" s="21" t="n">
        <f aca="false">ROUNDDOWN(D4/2,0)</f>
        <v>3000</v>
      </c>
    </row>
    <row r="5" customFormat="false" ht="27" hidden="false" customHeight="true" outlineLevel="0" collapsed="false">
      <c r="A5" s="21" t="s">
        <v>147</v>
      </c>
      <c r="B5" s="21" t="s">
        <v>148</v>
      </c>
      <c r="C5" s="21"/>
      <c r="D5" s="21" t="n">
        <v>6000</v>
      </c>
      <c r="E5" s="21" t="s">
        <v>11</v>
      </c>
      <c r="F5" s="21" t="n">
        <f aca="false">ROUNDDOWN(D5/2,0)</f>
        <v>3000</v>
      </c>
    </row>
    <row r="6" customFormat="false" ht="16.5" hidden="false" customHeight="true" outlineLevel="0" collapsed="false">
      <c r="A6" s="21" t="s">
        <v>149</v>
      </c>
      <c r="B6" s="21" t="s">
        <v>150</v>
      </c>
      <c r="C6" s="21"/>
      <c r="D6" s="21" t="n">
        <v>5000</v>
      </c>
      <c r="E6" s="21" t="s">
        <v>11</v>
      </c>
      <c r="F6" s="21" t="n">
        <f aca="false">ROUNDDOWN(D6/2,0)</f>
        <v>2500</v>
      </c>
    </row>
    <row r="7" customFormat="false" ht="27" hidden="false" customHeight="true" outlineLevel="0" collapsed="false">
      <c r="A7" s="21" t="s">
        <v>151</v>
      </c>
      <c r="B7" s="22" t="s">
        <v>152</v>
      </c>
      <c r="C7" s="22"/>
      <c r="D7" s="22" t="n">
        <v>4000</v>
      </c>
      <c r="E7" s="22" t="s">
        <v>11</v>
      </c>
      <c r="F7" s="22" t="n">
        <f aca="false">ROUNDDOWN(D7/2,0)</f>
        <v>2000</v>
      </c>
    </row>
    <row r="8" customFormat="false" ht="16.5" hidden="false" customHeight="true" outlineLevel="0" collapsed="false">
      <c r="A8" s="21" t="s">
        <v>153</v>
      </c>
      <c r="B8" s="21" t="s">
        <v>154</v>
      </c>
      <c r="C8" s="22"/>
      <c r="D8" s="21" t="n">
        <v>5000</v>
      </c>
      <c r="E8" s="21" t="s">
        <v>11</v>
      </c>
      <c r="F8" s="21" t="n">
        <f aca="false">ROUNDDOWN(D8/2,0)</f>
        <v>2500</v>
      </c>
    </row>
    <row r="9" customFormat="false" ht="16.5" hidden="false" customHeight="true" outlineLevel="0" collapsed="false">
      <c r="A9" s="21" t="s">
        <v>155</v>
      </c>
      <c r="B9" s="22" t="s">
        <v>156</v>
      </c>
      <c r="C9" s="22"/>
      <c r="D9" s="22" t="n">
        <v>800</v>
      </c>
      <c r="E9" s="22" t="s">
        <v>11</v>
      </c>
      <c r="F9" s="22" t="n">
        <f aca="false">ROUNDDOWN(D9/2,0)</f>
        <v>400</v>
      </c>
    </row>
    <row r="10" customFormat="false" ht="16.5" hidden="false" customHeight="true" outlineLevel="0" collapsed="false">
      <c r="A10" s="21" t="s">
        <v>157</v>
      </c>
      <c r="B10" s="21" t="s">
        <v>158</v>
      </c>
      <c r="C10" s="22"/>
      <c r="D10" s="21" t="n">
        <v>4000</v>
      </c>
      <c r="E10" s="21" t="s">
        <v>11</v>
      </c>
      <c r="F10" s="21" t="n">
        <f aca="false">ROUNDDOWN(D10/2,0)</f>
        <v>2000</v>
      </c>
    </row>
    <row r="11" customFormat="false" ht="27" hidden="false" customHeight="true" outlineLevel="0" collapsed="false">
      <c r="A11" s="21" t="s">
        <v>159</v>
      </c>
      <c r="B11" s="21" t="s">
        <v>160</v>
      </c>
      <c r="C11" s="22"/>
      <c r="D11" s="21" t="n">
        <v>3000</v>
      </c>
      <c r="E11" s="21" t="s">
        <v>11</v>
      </c>
      <c r="F11" s="21" t="n">
        <f aca="false">ROUNDDOWN(D11/2,0)</f>
        <v>1500</v>
      </c>
    </row>
    <row r="12" customFormat="false" ht="16.5" hidden="false" customHeight="true" outlineLevel="0" collapsed="false">
      <c r="A12" s="21" t="s">
        <v>161</v>
      </c>
      <c r="B12" s="21" t="s">
        <v>162</v>
      </c>
      <c r="C12" s="22"/>
      <c r="D12" s="21" t="n">
        <v>1500</v>
      </c>
      <c r="E12" s="21" t="s">
        <v>11</v>
      </c>
      <c r="F12" s="21" t="n">
        <f aca="false">ROUNDDOWN(D12/2,0)</f>
        <v>750</v>
      </c>
    </row>
    <row r="13" customFormat="false" ht="16.5" hidden="false" customHeight="true" outlineLevel="0" collapsed="false">
      <c r="A13" s="21" t="s">
        <v>163</v>
      </c>
      <c r="B13" s="21" t="s">
        <v>164</v>
      </c>
      <c r="C13" s="22"/>
      <c r="D13" s="21" t="n">
        <v>3000</v>
      </c>
      <c r="E13" s="21" t="s">
        <v>11</v>
      </c>
      <c r="F13" s="21" t="n">
        <f aca="false">ROUNDDOWN(D13/2,0)</f>
        <v>1500</v>
      </c>
    </row>
    <row r="14" customFormat="false" ht="16.5" hidden="false" customHeight="true" outlineLevel="0" collapsed="false">
      <c r="A14" s="21" t="s">
        <v>165</v>
      </c>
      <c r="B14" s="21" t="s">
        <v>166</v>
      </c>
      <c r="C14" s="22"/>
      <c r="D14" s="21" t="n">
        <v>3000</v>
      </c>
      <c r="E14" s="21" t="s">
        <v>11</v>
      </c>
      <c r="F14" s="21" t="n">
        <f aca="false">ROUNDDOWN(D14/2,0)</f>
        <v>1500</v>
      </c>
    </row>
    <row r="15" customFormat="false" ht="16.5" hidden="false" customHeight="true" outlineLevel="0" collapsed="false">
      <c r="A15" s="21" t="s">
        <v>167</v>
      </c>
      <c r="B15" s="21" t="s">
        <v>168</v>
      </c>
      <c r="C15" s="22"/>
      <c r="D15" s="21" t="n">
        <v>1500</v>
      </c>
      <c r="E15" s="21" t="s">
        <v>11</v>
      </c>
      <c r="F15" s="21" t="n">
        <f aca="false">ROUNDDOWN(D15/2,0)</f>
        <v>750</v>
      </c>
    </row>
    <row r="16" customFormat="false" ht="16.5" hidden="false" customHeight="true" outlineLevel="0" collapsed="false">
      <c r="A16" s="21" t="s">
        <v>169</v>
      </c>
      <c r="B16" s="21" t="s">
        <v>170</v>
      </c>
      <c r="C16" s="21" t="s">
        <v>171</v>
      </c>
      <c r="D16" s="21" t="n">
        <v>2500</v>
      </c>
      <c r="E16" s="21" t="s">
        <v>11</v>
      </c>
      <c r="F16" s="21" t="n">
        <f aca="false">ROUNDDOWN(D16/2,0)</f>
        <v>1250</v>
      </c>
    </row>
    <row r="17" customFormat="false" ht="16.5" hidden="false" customHeight="true" outlineLevel="0" collapsed="false">
      <c r="A17" s="21" t="s">
        <v>174</v>
      </c>
      <c r="B17" s="21" t="s">
        <v>175</v>
      </c>
      <c r="C17" s="22"/>
      <c r="D17" s="21" t="n">
        <v>1500</v>
      </c>
      <c r="E17" s="21" t="s">
        <v>11</v>
      </c>
      <c r="F17" s="21" t="n">
        <f aca="false">ROUNDDOWN(D18/2,0)</f>
        <v>750</v>
      </c>
    </row>
    <row r="18" customFormat="false" ht="16.5" hidden="false" customHeight="true" outlineLevel="0" collapsed="false">
      <c r="A18" s="21" t="s">
        <v>176</v>
      </c>
      <c r="B18" s="21" t="s">
        <v>177</v>
      </c>
      <c r="C18" s="22"/>
      <c r="D18" s="21" t="n">
        <v>8000</v>
      </c>
      <c r="E18" s="21" t="s">
        <v>11</v>
      </c>
      <c r="F18" s="21" t="n">
        <f aca="false">ROUNDDOWN(D19/2,0)</f>
        <v>4000</v>
      </c>
    </row>
    <row r="19" customFormat="false" ht="16.5" hidden="false" customHeight="true" outlineLevel="0" collapsed="false">
      <c r="A19" s="21" t="s">
        <v>178</v>
      </c>
      <c r="B19" s="21" t="s">
        <v>179</v>
      </c>
      <c r="C19" s="22"/>
      <c r="D19" s="21" t="n">
        <v>2000</v>
      </c>
      <c r="E19" s="21" t="s">
        <v>11</v>
      </c>
      <c r="F19" s="21" t="n">
        <f aca="false">ROUNDDOWN(D20/2,0)</f>
        <v>1000</v>
      </c>
    </row>
    <row r="20" customFormat="false" ht="16.5" hidden="false" customHeight="true" outlineLevel="0" collapsed="false">
      <c r="A20" s="21" t="s">
        <v>180</v>
      </c>
      <c r="B20" s="21" t="s">
        <v>181</v>
      </c>
      <c r="C20" s="22"/>
      <c r="D20" s="21" t="n">
        <v>2000</v>
      </c>
      <c r="E20" s="21" t="s">
        <v>11</v>
      </c>
      <c r="F20" s="21" t="n">
        <f aca="false">ROUNDDOWN(D21/2,0)</f>
        <v>1000</v>
      </c>
    </row>
    <row r="21" customFormat="false" ht="27.75" hidden="false" customHeight="true" outlineLevel="0" collapsed="false">
      <c r="A21" s="21" t="s">
        <v>182</v>
      </c>
      <c r="B21" s="21" t="s">
        <v>183</v>
      </c>
      <c r="C21" s="16" t="s">
        <v>171</v>
      </c>
      <c r="D21" s="21" t="n">
        <v>2500</v>
      </c>
      <c r="E21" s="21" t="s">
        <v>11</v>
      </c>
      <c r="F21" s="21" t="n">
        <f aca="false">ROUNDDOWN(D22/2,0)</f>
        <v>1250</v>
      </c>
    </row>
    <row r="22" customFormat="false" ht="13.5" hidden="false" customHeight="true" outlineLevel="0" collapsed="false">
      <c r="A22" s="16" t="s">
        <v>184</v>
      </c>
      <c r="B22" s="16" t="s">
        <v>185</v>
      </c>
      <c r="D22" s="16" t="n">
        <v>3000</v>
      </c>
      <c r="E22" s="16" t="s">
        <v>11</v>
      </c>
      <c r="F22" s="16" t="n">
        <f aca="false">ROUNDDOWN(D23/2,0)</f>
        <v>1500</v>
      </c>
    </row>
    <row r="23" customFormat="false" ht="13.5" hidden="false" customHeight="true" outlineLevel="0" collapsed="false">
      <c r="A23" s="16" t="s">
        <v>186</v>
      </c>
      <c r="B23" s="16" t="s">
        <v>187</v>
      </c>
      <c r="D23" s="16" t="n">
        <v>1000</v>
      </c>
      <c r="E23" s="16" t="s">
        <v>11</v>
      </c>
      <c r="F23" s="16" t="n">
        <f aca="false">ROUNDDOWN(D24/2,0)</f>
        <v>500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3" activeCellId="0" sqref="A3"/>
    </sheetView>
  </sheetViews>
  <sheetFormatPr defaultColWidth="8.62890625" defaultRowHeight="13.5" zeroHeight="false" outlineLevelRow="0" outlineLevelCol="0"/>
  <cols>
    <col collapsed="false" customWidth="true" hidden="false" outlineLevel="0" max="1" min="1" style="1" width="10.75"/>
    <col collapsed="false" customWidth="true" hidden="false" outlineLevel="0" max="2" min="2" style="1" width="21.75"/>
    <col collapsed="false" customWidth="true" hidden="false" outlineLevel="0" max="4" min="3" style="1" width="44.13"/>
    <col collapsed="false" customWidth="true" hidden="false" outlineLevel="0" max="5" min="5" style="1" width="34"/>
  </cols>
  <sheetData>
    <row r="1" customFormat="false" ht="18.75" hidden="false" customHeight="true" outlineLevel="0" collapsed="false">
      <c r="A1" s="2" t="s">
        <v>0</v>
      </c>
      <c r="B1" s="2" t="s">
        <v>1</v>
      </c>
      <c r="C1" s="2" t="s">
        <v>2</v>
      </c>
      <c r="D1" s="2" t="s">
        <v>4</v>
      </c>
      <c r="E1" s="2" t="s">
        <v>188</v>
      </c>
    </row>
    <row r="2" customFormat="false" ht="67.5" hidden="false" customHeight="true" outlineLevel="0" collapsed="false">
      <c r="A2" s="16" t="s">
        <v>189</v>
      </c>
      <c r="B2" s="16" t="s">
        <v>190</v>
      </c>
      <c r="C2" s="23" t="s">
        <v>191</v>
      </c>
      <c r="D2" s="23" t="s">
        <v>192</v>
      </c>
      <c r="E2" s="21" t="s">
        <v>193</v>
      </c>
    </row>
    <row r="3" customFormat="false" ht="67.5" hidden="false" customHeight="true" outlineLevel="0" collapsed="false">
      <c r="A3" s="16" t="s">
        <v>189</v>
      </c>
      <c r="B3" s="16" t="s">
        <v>194</v>
      </c>
      <c r="C3" s="23" t="s">
        <v>195</v>
      </c>
      <c r="D3" s="23" t="s">
        <v>196</v>
      </c>
      <c r="E3" s="21" t="s">
        <v>197</v>
      </c>
    </row>
    <row r="4" customFormat="false" ht="67.5" hidden="false" customHeight="true" outlineLevel="0" collapsed="false">
      <c r="A4" s="16" t="s">
        <v>189</v>
      </c>
      <c r="B4" s="16" t="s">
        <v>198</v>
      </c>
      <c r="C4" s="23" t="s">
        <v>199</v>
      </c>
      <c r="D4" s="23" t="s">
        <v>200</v>
      </c>
      <c r="E4" s="21" t="s">
        <v>201</v>
      </c>
    </row>
    <row r="5" customFormat="false" ht="81" hidden="false" customHeight="true" outlineLevel="0" collapsed="false">
      <c r="A5" s="16" t="s">
        <v>189</v>
      </c>
      <c r="B5" s="16" t="s">
        <v>202</v>
      </c>
      <c r="C5" s="23" t="s">
        <v>203</v>
      </c>
      <c r="D5" s="23" t="s">
        <v>204</v>
      </c>
      <c r="E5" s="21" t="s">
        <v>205</v>
      </c>
    </row>
    <row r="6" customFormat="false" ht="67.5" hidden="false" customHeight="true" outlineLevel="0" collapsed="false">
      <c r="A6" s="16" t="s">
        <v>189</v>
      </c>
      <c r="B6" s="16" t="s">
        <v>206</v>
      </c>
      <c r="C6" s="23" t="s">
        <v>207</v>
      </c>
      <c r="D6" s="23" t="s">
        <v>208</v>
      </c>
      <c r="E6" s="21" t="s">
        <v>209</v>
      </c>
    </row>
    <row r="7" customFormat="false" ht="81" hidden="false" customHeight="true" outlineLevel="0" collapsed="false">
      <c r="A7" s="16" t="s">
        <v>189</v>
      </c>
      <c r="B7" s="16" t="s">
        <v>210</v>
      </c>
      <c r="C7" s="23" t="s">
        <v>211</v>
      </c>
      <c r="D7" s="23" t="s">
        <v>212</v>
      </c>
      <c r="E7" s="21" t="s">
        <v>213</v>
      </c>
    </row>
    <row r="8" customFormat="false" ht="67.5" hidden="false" customHeight="true" outlineLevel="0" collapsed="false">
      <c r="A8" s="16" t="s">
        <v>189</v>
      </c>
      <c r="B8" s="16" t="s">
        <v>214</v>
      </c>
      <c r="C8" s="23" t="s">
        <v>215</v>
      </c>
      <c r="D8" s="23" t="s">
        <v>216</v>
      </c>
      <c r="E8" s="21" t="s">
        <v>217</v>
      </c>
    </row>
    <row r="9" customFormat="false" ht="67.5" hidden="false" customHeight="true" outlineLevel="0" collapsed="false">
      <c r="A9" s="16" t="s">
        <v>189</v>
      </c>
      <c r="B9" s="16" t="s">
        <v>218</v>
      </c>
      <c r="C9" s="23" t="s">
        <v>219</v>
      </c>
      <c r="D9" s="23" t="s">
        <v>220</v>
      </c>
      <c r="E9" s="21" t="s">
        <v>221</v>
      </c>
    </row>
    <row r="10" customFormat="false" ht="67.5" hidden="false" customHeight="true" outlineLevel="0" collapsed="false">
      <c r="A10" s="16" t="s">
        <v>189</v>
      </c>
      <c r="B10" s="16" t="s">
        <v>222</v>
      </c>
      <c r="C10" s="23" t="s">
        <v>223</v>
      </c>
      <c r="D10" s="23" t="s">
        <v>224</v>
      </c>
      <c r="E10" s="21" t="s">
        <v>225</v>
      </c>
    </row>
    <row r="11" customFormat="false" ht="67.5" hidden="false" customHeight="true" outlineLevel="0" collapsed="false">
      <c r="A11" s="16" t="s">
        <v>189</v>
      </c>
      <c r="B11" s="16" t="s">
        <v>226</v>
      </c>
      <c r="C11" s="23" t="s">
        <v>227</v>
      </c>
      <c r="D11" s="23" t="s">
        <v>228</v>
      </c>
      <c r="E11" s="21" t="s">
        <v>229</v>
      </c>
    </row>
    <row r="12" customFormat="false" ht="81" hidden="false" customHeight="true" outlineLevel="0" collapsed="false">
      <c r="A12" s="16" t="s">
        <v>189</v>
      </c>
      <c r="B12" s="16" t="s">
        <v>230</v>
      </c>
      <c r="C12" s="23" t="s">
        <v>231</v>
      </c>
      <c r="D12" s="23" t="s">
        <v>232</v>
      </c>
      <c r="E12" s="21" t="s">
        <v>233</v>
      </c>
    </row>
    <row r="13" customFormat="false" ht="54" hidden="false" customHeight="true" outlineLevel="0" collapsed="false">
      <c r="A13" s="16" t="s">
        <v>234</v>
      </c>
      <c r="B13" s="24" t="s">
        <v>235</v>
      </c>
      <c r="C13" s="23" t="s">
        <v>236</v>
      </c>
      <c r="D13" s="23" t="s">
        <v>237</v>
      </c>
      <c r="E13" s="21" t="s">
        <v>238</v>
      </c>
    </row>
    <row r="14" customFormat="false" ht="54" hidden="false" customHeight="true" outlineLevel="0" collapsed="false">
      <c r="A14" s="16" t="s">
        <v>234</v>
      </c>
      <c r="B14" s="24" t="s">
        <v>239</v>
      </c>
      <c r="C14" s="23" t="s">
        <v>240</v>
      </c>
      <c r="D14" s="23" t="s">
        <v>241</v>
      </c>
      <c r="E14" s="21" t="s">
        <v>242</v>
      </c>
    </row>
    <row r="15" customFormat="false" ht="67.5" hidden="false" customHeight="true" outlineLevel="0" collapsed="false">
      <c r="A15" s="16" t="s">
        <v>234</v>
      </c>
      <c r="B15" s="24" t="s">
        <v>243</v>
      </c>
      <c r="C15" s="23" t="s">
        <v>244</v>
      </c>
      <c r="D15" s="23" t="s">
        <v>245</v>
      </c>
      <c r="E15" s="21" t="s">
        <v>246</v>
      </c>
    </row>
    <row r="16" customFormat="false" ht="40.5" hidden="false" customHeight="true" outlineLevel="0" collapsed="false">
      <c r="A16" s="16" t="s">
        <v>247</v>
      </c>
      <c r="B16" s="16" t="s">
        <v>248</v>
      </c>
      <c r="C16" s="16" t="s">
        <v>249</v>
      </c>
      <c r="D16" s="23" t="s">
        <v>250</v>
      </c>
      <c r="E16" s="21" t="s">
        <v>251</v>
      </c>
    </row>
    <row r="17" customFormat="false" ht="40.5" hidden="false" customHeight="true" outlineLevel="0" collapsed="false">
      <c r="A17" s="16" t="s">
        <v>247</v>
      </c>
      <c r="B17" s="24" t="s">
        <v>252</v>
      </c>
      <c r="C17" s="23" t="s">
        <v>253</v>
      </c>
      <c r="D17" s="23" t="s">
        <v>254</v>
      </c>
      <c r="E17" s="21" t="s">
        <v>255</v>
      </c>
    </row>
    <row r="18" customFormat="false" ht="54" hidden="false" customHeight="true" outlineLevel="0" collapsed="false">
      <c r="A18" s="16" t="s">
        <v>247</v>
      </c>
      <c r="B18" s="16" t="s">
        <v>256</v>
      </c>
      <c r="C18" s="23" t="s">
        <v>257</v>
      </c>
      <c r="D18" s="23" t="s">
        <v>258</v>
      </c>
      <c r="E18" s="21" t="s">
        <v>259</v>
      </c>
    </row>
    <row r="19" customFormat="false" ht="54" hidden="false" customHeight="true" outlineLevel="0" collapsed="false">
      <c r="A19" s="16" t="s">
        <v>247</v>
      </c>
      <c r="B19" s="16" t="s">
        <v>260</v>
      </c>
      <c r="C19" s="16" t="s">
        <v>261</v>
      </c>
      <c r="D19" s="15" t="s">
        <v>262</v>
      </c>
      <c r="E19" s="21" t="s">
        <v>259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3.25"/>
    <col collapsed="false" customWidth="true" hidden="false" outlineLevel="0" max="3" min="3" style="1" width="13"/>
    <col collapsed="false" customWidth="true" hidden="false" outlineLevel="0" max="4" min="4" style="1" width="13.88"/>
    <col collapsed="false" customWidth="true" hidden="false" outlineLevel="0" max="5" min="5" style="1" width="15.88"/>
    <col collapsed="false" customWidth="true" hidden="false" outlineLevel="0" max="6" min="6" style="1" width="24"/>
    <col collapsed="false" customWidth="true" hidden="false" outlineLevel="0" max="11" min="11" style="1" width="13"/>
    <col collapsed="false" customWidth="true" hidden="false" outlineLevel="0" max="17" min="17" style="1" width="17"/>
    <col collapsed="false" customWidth="true" hidden="false" outlineLevel="0" max="18" min="18" style="1" width="13"/>
    <col collapsed="false" customWidth="true" hidden="false" outlineLevel="0" max="19" min="19" style="1" width="20.38"/>
    <col collapsed="false" customWidth="true" hidden="false" outlineLevel="0" max="20" min="20" style="1" width="17"/>
    <col collapsed="false" customWidth="true" hidden="false" outlineLevel="0" max="21" min="21" style="1" width="13"/>
    <col collapsed="false" customWidth="true" hidden="false" outlineLevel="0" max="24" min="24" style="1" width="13"/>
  </cols>
  <sheetData>
    <row r="1" customFormat="false" ht="18.75" hidden="false" customHeight="true" outlineLevel="0" collapsed="false">
      <c r="A1" s="25" t="s">
        <v>263</v>
      </c>
      <c r="B1" s="25" t="s">
        <v>1</v>
      </c>
      <c r="C1" s="25" t="s">
        <v>189</v>
      </c>
      <c r="D1" s="25" t="s">
        <v>264</v>
      </c>
      <c r="E1" s="25" t="s">
        <v>265</v>
      </c>
      <c r="F1" s="25" t="s">
        <v>266</v>
      </c>
      <c r="G1" s="25" t="s">
        <v>267</v>
      </c>
      <c r="H1" s="25" t="s">
        <v>268</v>
      </c>
      <c r="I1" s="25" t="s">
        <v>269</v>
      </c>
      <c r="J1" s="25" t="s">
        <v>270</v>
      </c>
      <c r="K1" s="26" t="s">
        <v>271</v>
      </c>
      <c r="L1" s="27" t="s">
        <v>272</v>
      </c>
      <c r="M1" s="27" t="s">
        <v>273</v>
      </c>
      <c r="N1" s="27" t="s">
        <v>274</v>
      </c>
      <c r="O1" s="27" t="s">
        <v>275</v>
      </c>
      <c r="P1" s="27" t="s">
        <v>276</v>
      </c>
      <c r="Q1" s="27" t="s">
        <v>277</v>
      </c>
      <c r="R1" s="27" t="s">
        <v>278</v>
      </c>
      <c r="S1" s="27" t="s">
        <v>279</v>
      </c>
      <c r="T1" s="28"/>
      <c r="U1" s="25" t="s">
        <v>280</v>
      </c>
      <c r="V1" s="29" t="s">
        <v>1322</v>
      </c>
      <c r="W1" s="30" t="s">
        <v>281</v>
      </c>
    </row>
    <row r="2" customFormat="false" ht="16.5" hidden="false" customHeight="true" outlineLevel="0" collapsed="false">
      <c r="A2" s="31" t="n">
        <v>1</v>
      </c>
      <c r="B2" s="32" t="s">
        <v>282</v>
      </c>
      <c r="C2" s="32" t="s">
        <v>283</v>
      </c>
      <c r="D2" s="32" t="s">
        <v>284</v>
      </c>
      <c r="E2" s="32"/>
      <c r="F2" s="32" t="s">
        <v>285</v>
      </c>
      <c r="G2" s="33" t="s">
        <v>286</v>
      </c>
      <c r="H2" s="32" t="s">
        <v>287</v>
      </c>
      <c r="I2" s="33" t="s">
        <v>286</v>
      </c>
      <c r="J2" s="32" t="s">
        <v>288</v>
      </c>
      <c r="K2" s="30" t="n">
        <v>45</v>
      </c>
      <c r="L2" s="30" t="n">
        <v>49</v>
      </c>
      <c r="M2" s="30" t="n">
        <v>49</v>
      </c>
      <c r="N2" s="30" t="n">
        <v>65</v>
      </c>
      <c r="O2" s="30" t="n">
        <v>65</v>
      </c>
      <c r="P2" s="30" t="n">
        <v>45</v>
      </c>
      <c r="Q2" s="30" t="n">
        <f aca="false">SUM(K2:P2)</f>
        <v>318</v>
      </c>
      <c r="R2" s="30" t="n">
        <v>16</v>
      </c>
      <c r="S2" s="30"/>
      <c r="T2" s="34"/>
      <c r="U2" s="30"/>
      <c r="V2" s="35" t="s">
        <v>284</v>
      </c>
      <c r="W2" s="36" t="n">
        <f aca="false">COUNTIFS($C:$C,V2,$U:$U,1)</f>
        <v>14</v>
      </c>
    </row>
    <row r="3" customFormat="false" ht="16.5" hidden="false" customHeight="true" outlineLevel="0" collapsed="false">
      <c r="A3" s="31" t="n">
        <v>2</v>
      </c>
      <c r="B3" s="32" t="s">
        <v>289</v>
      </c>
      <c r="C3" s="32" t="s">
        <v>283</v>
      </c>
      <c r="D3" s="32" t="s">
        <v>284</v>
      </c>
      <c r="E3" s="32"/>
      <c r="F3" s="32" t="s">
        <v>290</v>
      </c>
      <c r="G3" s="33" t="s">
        <v>286</v>
      </c>
      <c r="H3" s="32" t="s">
        <v>291</v>
      </c>
      <c r="I3" s="33" t="s">
        <v>286</v>
      </c>
      <c r="J3" s="32" t="s">
        <v>292</v>
      </c>
      <c r="K3" s="30" t="n">
        <v>60</v>
      </c>
      <c r="L3" s="30" t="n">
        <v>62</v>
      </c>
      <c r="M3" s="30" t="n">
        <v>63</v>
      </c>
      <c r="N3" s="30" t="n">
        <v>80</v>
      </c>
      <c r="O3" s="30" t="n">
        <v>80</v>
      </c>
      <c r="P3" s="30" t="n">
        <v>60</v>
      </c>
      <c r="Q3" s="30" t="n">
        <f aca="false">SUM(K3:P3)</f>
        <v>405</v>
      </c>
      <c r="R3" s="30" t="n">
        <v>32</v>
      </c>
      <c r="S3" s="30"/>
      <c r="T3" s="34"/>
      <c r="U3" s="30"/>
      <c r="V3" s="35" t="s">
        <v>293</v>
      </c>
      <c r="W3" s="36" t="n">
        <f aca="false">COUNTIFS($C:$C,V3,$U:$U,1)</f>
        <v>20</v>
      </c>
    </row>
    <row r="4" customFormat="false" ht="16.5" hidden="false" customHeight="true" outlineLevel="0" collapsed="false">
      <c r="A4" s="31" t="n">
        <v>3</v>
      </c>
      <c r="B4" s="32" t="s">
        <v>294</v>
      </c>
      <c r="C4" s="32" t="s">
        <v>283</v>
      </c>
      <c r="D4" s="32" t="s">
        <v>284</v>
      </c>
      <c r="E4" s="32" t="s">
        <v>295</v>
      </c>
      <c r="F4" s="32" t="s">
        <v>290</v>
      </c>
      <c r="G4" s="33" t="s">
        <v>286</v>
      </c>
      <c r="H4" s="32" t="s">
        <v>288</v>
      </c>
      <c r="I4" s="33" t="s">
        <v>286</v>
      </c>
      <c r="J4" s="32" t="s">
        <v>296</v>
      </c>
      <c r="K4" s="30" t="n">
        <v>80</v>
      </c>
      <c r="L4" s="30" t="n">
        <v>82</v>
      </c>
      <c r="M4" s="30" t="n">
        <v>83</v>
      </c>
      <c r="N4" s="30" t="n">
        <v>100</v>
      </c>
      <c r="O4" s="30" t="n">
        <v>100</v>
      </c>
      <c r="P4" s="30" t="n">
        <v>80</v>
      </c>
      <c r="Q4" s="30" t="n">
        <f aca="false">SUM(K4:P4)</f>
        <v>525</v>
      </c>
      <c r="R4" s="30"/>
      <c r="S4" s="30"/>
      <c r="T4" s="34"/>
      <c r="U4" s="30" t="n">
        <v>1</v>
      </c>
      <c r="V4" s="35" t="s">
        <v>283</v>
      </c>
      <c r="W4" s="36" t="n">
        <f aca="false">COUNTIFS($C:$C,V4,$U:$U,1)</f>
        <v>14</v>
      </c>
    </row>
    <row r="5" customFormat="false" ht="16.5" hidden="false" customHeight="true" outlineLevel="0" collapsed="false">
      <c r="A5" s="31" t="n">
        <f aca="false">A4+1</f>
        <v>4</v>
      </c>
      <c r="B5" s="32" t="s">
        <v>297</v>
      </c>
      <c r="C5" s="32" t="s">
        <v>284</v>
      </c>
      <c r="D5" s="32" t="s">
        <v>293</v>
      </c>
      <c r="E5" s="32"/>
      <c r="F5" s="32" t="s">
        <v>298</v>
      </c>
      <c r="G5" s="33" t="s">
        <v>286</v>
      </c>
      <c r="H5" s="32" t="s">
        <v>299</v>
      </c>
      <c r="I5" s="33" t="s">
        <v>286</v>
      </c>
      <c r="J5" s="32" t="s">
        <v>300</v>
      </c>
      <c r="K5" s="30" t="n">
        <v>39</v>
      </c>
      <c r="L5" s="30" t="n">
        <v>52</v>
      </c>
      <c r="M5" s="30" t="n">
        <v>43</v>
      </c>
      <c r="N5" s="30" t="n">
        <v>60</v>
      </c>
      <c r="O5" s="30" t="n">
        <v>50</v>
      </c>
      <c r="P5" s="30" t="n">
        <v>65</v>
      </c>
      <c r="Q5" s="30" t="n">
        <f aca="false">SUM(K5:P5)</f>
        <v>309</v>
      </c>
      <c r="R5" s="30" t="n">
        <v>16</v>
      </c>
      <c r="S5" s="30"/>
      <c r="T5" s="34"/>
      <c r="U5" s="30"/>
      <c r="V5" s="35" t="s">
        <v>301</v>
      </c>
      <c r="W5" s="36" t="n">
        <f aca="false">COUNTIFS($C:$C,V5,$U:$U,1)</f>
        <v>11</v>
      </c>
    </row>
    <row r="6" customFormat="false" ht="16.5" hidden="false" customHeight="true" outlineLevel="0" collapsed="false">
      <c r="A6" s="31" t="n">
        <f aca="false">A5+1</f>
        <v>5</v>
      </c>
      <c r="B6" s="30" t="s">
        <v>302</v>
      </c>
      <c r="C6" s="30" t="s">
        <v>284</v>
      </c>
      <c r="D6" s="30" t="s">
        <v>293</v>
      </c>
      <c r="E6" s="30"/>
      <c r="F6" s="30" t="s">
        <v>303</v>
      </c>
      <c r="G6" s="28" t="s">
        <v>286</v>
      </c>
      <c r="H6" s="30" t="s">
        <v>304</v>
      </c>
      <c r="I6" s="28" t="s">
        <v>286</v>
      </c>
      <c r="J6" s="30" t="s">
        <v>305</v>
      </c>
      <c r="K6" s="30" t="n">
        <v>58</v>
      </c>
      <c r="L6" s="30" t="n">
        <v>64</v>
      </c>
      <c r="M6" s="30" t="n">
        <v>58</v>
      </c>
      <c r="N6" s="30" t="n">
        <v>80</v>
      </c>
      <c r="O6" s="30" t="n">
        <v>65</v>
      </c>
      <c r="P6" s="30" t="n">
        <v>80</v>
      </c>
      <c r="Q6" s="30" t="n">
        <f aca="false">SUM(K6:P6)</f>
        <v>405</v>
      </c>
      <c r="R6" s="30" t="n">
        <v>36</v>
      </c>
      <c r="S6" s="30"/>
      <c r="T6" s="34"/>
      <c r="U6" s="30"/>
      <c r="V6" s="35" t="s">
        <v>306</v>
      </c>
      <c r="W6" s="36" t="n">
        <f aca="false">COUNTIFS($C:$C,V6,$U:$U,1)</f>
        <v>13</v>
      </c>
    </row>
    <row r="7" customFormat="false" ht="16.5" hidden="false" customHeight="true" outlineLevel="0" collapsed="false">
      <c r="A7" s="31" t="n">
        <f aca="false">A6+1</f>
        <v>6</v>
      </c>
      <c r="B7" s="30" t="s">
        <v>307</v>
      </c>
      <c r="C7" s="30" t="s">
        <v>284</v>
      </c>
      <c r="D7" s="30" t="s">
        <v>293</v>
      </c>
      <c r="E7" s="30" t="s">
        <v>308</v>
      </c>
      <c r="F7" s="30" t="s">
        <v>309</v>
      </c>
      <c r="G7" s="28" t="s">
        <v>286</v>
      </c>
      <c r="H7" s="30" t="s">
        <v>310</v>
      </c>
      <c r="I7" s="28" t="s">
        <v>286</v>
      </c>
      <c r="J7" s="30" t="s">
        <v>311</v>
      </c>
      <c r="K7" s="30" t="n">
        <v>78</v>
      </c>
      <c r="L7" s="30" t="n">
        <v>84</v>
      </c>
      <c r="M7" s="30" t="n">
        <v>78</v>
      </c>
      <c r="N7" s="30" t="n">
        <v>109</v>
      </c>
      <c r="O7" s="30" t="n">
        <v>85</v>
      </c>
      <c r="P7" s="30" t="n">
        <v>100</v>
      </c>
      <c r="Q7" s="30" t="n">
        <f aca="false">SUM(K7:P7)</f>
        <v>534</v>
      </c>
      <c r="R7" s="30"/>
      <c r="S7" s="30"/>
      <c r="T7" s="34"/>
      <c r="U7" s="30" t="n">
        <v>1</v>
      </c>
      <c r="V7" s="35" t="s">
        <v>312</v>
      </c>
      <c r="W7" s="36" t="n">
        <f aca="false">COUNTIFS($C:$C,V7,$U:$U,1)</f>
        <v>11</v>
      </c>
    </row>
    <row r="8" customFormat="false" ht="16.5" hidden="false" customHeight="true" outlineLevel="0" collapsed="false">
      <c r="A8" s="31" t="n">
        <f aca="false">A7+1</f>
        <v>7</v>
      </c>
      <c r="B8" s="30" t="s">
        <v>313</v>
      </c>
      <c r="C8" s="30" t="s">
        <v>293</v>
      </c>
      <c r="D8" s="30" t="s">
        <v>301</v>
      </c>
      <c r="E8" s="30"/>
      <c r="F8" s="30" t="s">
        <v>314</v>
      </c>
      <c r="G8" s="28" t="s">
        <v>286</v>
      </c>
      <c r="H8" s="30" t="s">
        <v>315</v>
      </c>
      <c r="I8" s="28" t="s">
        <v>286</v>
      </c>
      <c r="J8" s="30" t="s">
        <v>316</v>
      </c>
      <c r="K8" s="30" t="n">
        <v>44</v>
      </c>
      <c r="L8" s="30" t="n">
        <v>48</v>
      </c>
      <c r="M8" s="30" t="n">
        <v>65</v>
      </c>
      <c r="N8" s="30" t="n">
        <v>50</v>
      </c>
      <c r="O8" s="30" t="n">
        <v>64</v>
      </c>
      <c r="P8" s="30" t="n">
        <v>43</v>
      </c>
      <c r="Q8" s="30" t="n">
        <f aca="false">SUM(K8:P8)</f>
        <v>314</v>
      </c>
      <c r="R8" s="30" t="n">
        <v>16</v>
      </c>
      <c r="S8" s="30"/>
      <c r="T8" s="34"/>
      <c r="U8" s="30"/>
      <c r="V8" s="35" t="s">
        <v>317</v>
      </c>
      <c r="W8" s="36" t="n">
        <f aca="false">COUNTIFS($C:$C,V8,$U:$U,1)</f>
        <v>10</v>
      </c>
    </row>
    <row r="9" customFormat="false" ht="16.5" hidden="false" customHeight="true" outlineLevel="0" collapsed="false">
      <c r="A9" s="31" t="n">
        <f aca="false">A8+1</f>
        <v>8</v>
      </c>
      <c r="B9" s="30" t="s">
        <v>318</v>
      </c>
      <c r="C9" s="30" t="str">
        <f aca="false">C8</f>
        <v>水</v>
      </c>
      <c r="D9" s="30" t="s">
        <v>301</v>
      </c>
      <c r="E9" s="30"/>
      <c r="F9" s="30" t="s">
        <v>319</v>
      </c>
      <c r="G9" s="28" t="s">
        <v>286</v>
      </c>
      <c r="H9" s="30" t="s">
        <v>320</v>
      </c>
      <c r="I9" s="28" t="s">
        <v>286</v>
      </c>
      <c r="J9" s="30" t="s">
        <v>321</v>
      </c>
      <c r="K9" s="30" t="n">
        <v>59</v>
      </c>
      <c r="L9" s="30" t="n">
        <v>63</v>
      </c>
      <c r="M9" s="30" t="n">
        <v>80</v>
      </c>
      <c r="N9" s="30" t="n">
        <v>65</v>
      </c>
      <c r="O9" s="30" t="n">
        <v>80</v>
      </c>
      <c r="P9" s="30" t="n">
        <v>58</v>
      </c>
      <c r="Q9" s="30" t="n">
        <f aca="false">SUM(K9:P9)</f>
        <v>405</v>
      </c>
      <c r="R9" s="30" t="n">
        <v>36</v>
      </c>
      <c r="S9" s="30"/>
      <c r="T9" s="34"/>
      <c r="U9" s="30"/>
      <c r="V9" s="35" t="s">
        <v>322</v>
      </c>
      <c r="W9" s="36" t="n">
        <f aca="false">COUNTIFS($C:$C,V9,$U:$U,1)</f>
        <v>8</v>
      </c>
    </row>
    <row r="10" customFormat="false" ht="16.5" hidden="false" customHeight="true" outlineLevel="0" collapsed="false">
      <c r="A10" s="31" t="n">
        <f aca="false">A9+1</f>
        <v>9</v>
      </c>
      <c r="B10" s="30" t="s">
        <v>323</v>
      </c>
      <c r="C10" s="30" t="str">
        <f aca="false">C9</f>
        <v>水</v>
      </c>
      <c r="D10" s="30" t="s">
        <v>301</v>
      </c>
      <c r="E10" s="30" t="s">
        <v>324</v>
      </c>
      <c r="F10" s="30" t="s">
        <v>325</v>
      </c>
      <c r="G10" s="28" t="s">
        <v>286</v>
      </c>
      <c r="H10" s="30" t="s">
        <v>326</v>
      </c>
      <c r="I10" s="28" t="s">
        <v>286</v>
      </c>
      <c r="J10" s="30" t="s">
        <v>327</v>
      </c>
      <c r="K10" s="30" t="n">
        <v>79</v>
      </c>
      <c r="L10" s="30" t="n">
        <v>83</v>
      </c>
      <c r="M10" s="30" t="n">
        <v>100</v>
      </c>
      <c r="N10" s="30" t="n">
        <v>85</v>
      </c>
      <c r="O10" s="30" t="n">
        <v>105</v>
      </c>
      <c r="P10" s="30" t="n">
        <v>78</v>
      </c>
      <c r="Q10" s="30" t="n">
        <f aca="false">SUM(K10:P10)</f>
        <v>530</v>
      </c>
      <c r="R10" s="30"/>
      <c r="S10" s="30"/>
      <c r="T10" s="34"/>
      <c r="U10" s="30" t="n">
        <v>1</v>
      </c>
      <c r="V10" s="35" t="s">
        <v>328</v>
      </c>
      <c r="W10" s="36" t="n">
        <f aca="false">COUNTIFS($C:$C,V10,$U:$U,1)</f>
        <v>9</v>
      </c>
    </row>
    <row r="11" customFormat="false" ht="16.5" hidden="false" customHeight="true" outlineLevel="0" collapsed="false">
      <c r="A11" s="31" t="n">
        <f aca="false">A10+1</f>
        <v>10</v>
      </c>
      <c r="B11" s="30" t="s">
        <v>329</v>
      </c>
      <c r="C11" s="30" t="s">
        <v>283</v>
      </c>
      <c r="D11" s="30" t="s">
        <v>284</v>
      </c>
      <c r="E11" s="30"/>
      <c r="F11" s="30" t="s">
        <v>330</v>
      </c>
      <c r="G11" s="28" t="s">
        <v>286</v>
      </c>
      <c r="H11" s="30" t="s">
        <v>331</v>
      </c>
      <c r="I11" s="28" t="s">
        <v>286</v>
      </c>
      <c r="J11" s="30" t="s">
        <v>332</v>
      </c>
      <c r="K11" s="34" t="n">
        <v>45</v>
      </c>
      <c r="L11" s="34" t="n">
        <v>30</v>
      </c>
      <c r="M11" s="34" t="n">
        <v>35</v>
      </c>
      <c r="N11" s="34" t="n">
        <v>20</v>
      </c>
      <c r="O11" s="34" t="n">
        <v>20</v>
      </c>
      <c r="P11" s="34" t="n">
        <v>45</v>
      </c>
      <c r="Q11" s="34" t="n">
        <f aca="false">SUM(K11:P11)</f>
        <v>195</v>
      </c>
      <c r="R11" s="34" t="n">
        <v>7</v>
      </c>
      <c r="S11" s="37" t="s">
        <v>333</v>
      </c>
      <c r="T11" s="34"/>
      <c r="U11" s="30"/>
      <c r="V11" s="35" t="s">
        <v>334</v>
      </c>
      <c r="W11" s="36" t="n">
        <f aca="false">COUNTIFS($C:$C,V11,$U:$U,1)</f>
        <v>7</v>
      </c>
      <c r="X11" s="38"/>
    </row>
    <row r="12" customFormat="false" ht="16.5" hidden="false" customHeight="true" outlineLevel="0" collapsed="false">
      <c r="A12" s="31" t="n">
        <f aca="false">A11+1</f>
        <v>11</v>
      </c>
      <c r="B12" s="30" t="s">
        <v>335</v>
      </c>
      <c r="C12" s="30" t="s">
        <v>283</v>
      </c>
      <c r="D12" s="30" t="s">
        <v>284</v>
      </c>
      <c r="E12" s="30"/>
      <c r="F12" s="30" t="s">
        <v>330</v>
      </c>
      <c r="G12" s="28" t="s">
        <v>286</v>
      </c>
      <c r="H12" s="30" t="s">
        <v>331</v>
      </c>
      <c r="I12" s="28" t="s">
        <v>286</v>
      </c>
      <c r="J12" s="30" t="s">
        <v>332</v>
      </c>
      <c r="K12" s="34" t="n">
        <v>50</v>
      </c>
      <c r="L12" s="34" t="n">
        <v>20</v>
      </c>
      <c r="M12" s="34" t="n">
        <v>55</v>
      </c>
      <c r="N12" s="34" t="n">
        <v>25</v>
      </c>
      <c r="O12" s="34" t="n">
        <v>25</v>
      </c>
      <c r="P12" s="34" t="n">
        <v>30</v>
      </c>
      <c r="Q12" s="34" t="n">
        <f aca="false">SUM(K12:P12)</f>
        <v>205</v>
      </c>
      <c r="R12" s="34" t="n">
        <v>10</v>
      </c>
      <c r="S12" s="39" t="s">
        <v>336</v>
      </c>
      <c r="T12" s="34"/>
      <c r="U12" s="30"/>
      <c r="V12" s="35" t="s">
        <v>337</v>
      </c>
      <c r="W12" s="36" t="n">
        <f aca="false">COUNTIFS($C:$C,V12,$U:$U,1)</f>
        <v>14</v>
      </c>
    </row>
    <row r="13" customFormat="false" ht="16.5" hidden="false" customHeight="true" outlineLevel="0" collapsed="false">
      <c r="A13" s="31" t="n">
        <f aca="false">A12+1</f>
        <v>12</v>
      </c>
      <c r="B13" s="30" t="s">
        <v>338</v>
      </c>
      <c r="C13" s="30" t="s">
        <v>283</v>
      </c>
      <c r="D13" s="30" t="s">
        <v>284</v>
      </c>
      <c r="E13" s="30" t="s">
        <v>339</v>
      </c>
      <c r="F13" s="30" t="s">
        <v>340</v>
      </c>
      <c r="G13" s="28" t="s">
        <v>341</v>
      </c>
      <c r="H13" s="30" t="s">
        <v>342</v>
      </c>
      <c r="I13" s="28" t="s">
        <v>343</v>
      </c>
      <c r="J13" s="30" t="s">
        <v>344</v>
      </c>
      <c r="K13" s="34" t="n">
        <v>60</v>
      </c>
      <c r="L13" s="34" t="n">
        <v>45</v>
      </c>
      <c r="M13" s="34" t="n">
        <v>50</v>
      </c>
      <c r="N13" s="34" t="n">
        <v>90</v>
      </c>
      <c r="O13" s="34" t="n">
        <v>80</v>
      </c>
      <c r="P13" s="34" t="n">
        <v>70</v>
      </c>
      <c r="Q13" s="34" t="n">
        <f aca="false">SUM(K13:P13)</f>
        <v>395</v>
      </c>
      <c r="S13" s="40" t="s">
        <v>345</v>
      </c>
      <c r="T13" s="34"/>
      <c r="U13" s="30" t="n">
        <v>1</v>
      </c>
      <c r="W13" s="36"/>
    </row>
    <row r="14" customFormat="false" ht="16.5" hidden="false" customHeight="true" outlineLevel="0" collapsed="false">
      <c r="A14" s="31" t="n">
        <f aca="false">A13+1</f>
        <v>13</v>
      </c>
      <c r="B14" s="30" t="s">
        <v>346</v>
      </c>
      <c r="C14" s="30" t="s">
        <v>283</v>
      </c>
      <c r="D14" s="30" t="s">
        <v>284</v>
      </c>
      <c r="E14" s="30"/>
      <c r="F14" s="30" t="s">
        <v>330</v>
      </c>
      <c r="G14" s="28" t="s">
        <v>286</v>
      </c>
      <c r="H14" s="30" t="s">
        <v>331</v>
      </c>
      <c r="I14" s="28" t="s">
        <v>286</v>
      </c>
      <c r="J14" s="30" t="s">
        <v>332</v>
      </c>
      <c r="K14" s="34" t="n">
        <v>40</v>
      </c>
      <c r="L14" s="34" t="n">
        <v>35</v>
      </c>
      <c r="M14" s="34" t="n">
        <v>30</v>
      </c>
      <c r="N14" s="34" t="n">
        <v>20</v>
      </c>
      <c r="O14" s="34" t="n">
        <v>20</v>
      </c>
      <c r="P14" s="34" t="n">
        <v>50</v>
      </c>
      <c r="Q14" s="34" t="n">
        <f aca="false">SUM(K14:P14)</f>
        <v>195</v>
      </c>
      <c r="R14" s="34" t="n">
        <v>7</v>
      </c>
      <c r="S14" s="39" t="s">
        <v>347</v>
      </c>
      <c r="T14" s="34"/>
      <c r="U14" s="30"/>
    </row>
    <row r="15" customFormat="false" ht="16.5" hidden="false" customHeight="true" outlineLevel="0" collapsed="false">
      <c r="A15" s="31" t="n">
        <f aca="false">A14+1</f>
        <v>14</v>
      </c>
      <c r="B15" s="30" t="s">
        <v>348</v>
      </c>
      <c r="C15" s="30" t="s">
        <v>283</v>
      </c>
      <c r="D15" s="30" t="s">
        <v>284</v>
      </c>
      <c r="E15" s="30"/>
      <c r="F15" s="30" t="s">
        <v>330</v>
      </c>
      <c r="G15" s="28" t="s">
        <v>286</v>
      </c>
      <c r="H15" s="30" t="s">
        <v>331</v>
      </c>
      <c r="I15" s="28" t="s">
        <v>286</v>
      </c>
      <c r="J15" s="30" t="s">
        <v>332</v>
      </c>
      <c r="K15" s="34" t="n">
        <v>45</v>
      </c>
      <c r="L15" s="34" t="n">
        <v>25</v>
      </c>
      <c r="M15" s="34" t="n">
        <v>50</v>
      </c>
      <c r="N15" s="34" t="n">
        <v>25</v>
      </c>
      <c r="O15" s="34" t="n">
        <v>25</v>
      </c>
      <c r="P15" s="34" t="n">
        <v>35</v>
      </c>
      <c r="Q15" s="34" t="n">
        <f aca="false">SUM(K15:P15)</f>
        <v>205</v>
      </c>
      <c r="R15" s="34" t="n">
        <v>10</v>
      </c>
      <c r="S15" s="39" t="s">
        <v>336</v>
      </c>
      <c r="T15" s="34"/>
      <c r="U15" s="30"/>
    </row>
    <row r="16" customFormat="false" ht="16.5" hidden="false" customHeight="true" outlineLevel="0" collapsed="false">
      <c r="A16" s="31" t="n">
        <f aca="false">A15+1</f>
        <v>15</v>
      </c>
      <c r="B16" s="30" t="s">
        <v>349</v>
      </c>
      <c r="C16" s="30" t="s">
        <v>283</v>
      </c>
      <c r="D16" s="30" t="s">
        <v>284</v>
      </c>
      <c r="E16" s="30" t="s">
        <v>350</v>
      </c>
      <c r="F16" s="30" t="s">
        <v>351</v>
      </c>
      <c r="G16" s="28" t="s">
        <v>352</v>
      </c>
      <c r="H16" s="30" t="s">
        <v>342</v>
      </c>
      <c r="I16" s="28" t="s">
        <v>343</v>
      </c>
      <c r="J16" s="30" t="s">
        <v>353</v>
      </c>
      <c r="K16" s="34" t="n">
        <v>65</v>
      </c>
      <c r="L16" s="34" t="n">
        <v>90</v>
      </c>
      <c r="M16" s="34" t="n">
        <v>40</v>
      </c>
      <c r="N16" s="34" t="n">
        <v>45</v>
      </c>
      <c r="O16" s="34" t="n">
        <v>80</v>
      </c>
      <c r="P16" s="34" t="n">
        <v>75</v>
      </c>
      <c r="Q16" s="34" t="n">
        <f aca="false">SUM(K16:P16)</f>
        <v>395</v>
      </c>
      <c r="S16" s="40" t="s">
        <v>354</v>
      </c>
      <c r="T16" s="34"/>
      <c r="U16" s="30" t="n">
        <v>1</v>
      </c>
    </row>
    <row r="17" customFormat="false" ht="16.5" hidden="false" customHeight="true" outlineLevel="0" collapsed="false">
      <c r="A17" s="31" t="n">
        <f aca="false">A16+1</f>
        <v>16</v>
      </c>
      <c r="B17" s="30" t="s">
        <v>355</v>
      </c>
      <c r="C17" s="30" t="s">
        <v>337</v>
      </c>
      <c r="D17" s="30" t="s">
        <v>301</v>
      </c>
      <c r="E17" s="30"/>
      <c r="F17" s="30" t="s">
        <v>356</v>
      </c>
      <c r="G17" s="28" t="s">
        <v>286</v>
      </c>
      <c r="H17" s="30" t="s">
        <v>357</v>
      </c>
      <c r="I17" s="28" t="s">
        <v>286</v>
      </c>
      <c r="J17" s="30" t="s">
        <v>358</v>
      </c>
      <c r="K17" s="34" t="n">
        <v>40</v>
      </c>
      <c r="L17" s="34" t="n">
        <v>45</v>
      </c>
      <c r="M17" s="34" t="n">
        <v>40</v>
      </c>
      <c r="N17" s="34" t="n">
        <v>35</v>
      </c>
      <c r="O17" s="34" t="n">
        <v>35</v>
      </c>
      <c r="P17" s="34" t="n">
        <v>56</v>
      </c>
      <c r="Q17" s="34" t="n">
        <f aca="false">SUM(K17:P17)</f>
        <v>251</v>
      </c>
      <c r="R17" s="34" t="n">
        <v>18</v>
      </c>
      <c r="S17" s="40" t="s">
        <v>359</v>
      </c>
      <c r="T17" s="34"/>
      <c r="U17" s="30"/>
    </row>
    <row r="18" customFormat="false" ht="16.5" hidden="false" customHeight="true" outlineLevel="0" collapsed="false">
      <c r="A18" s="31" t="n">
        <f aca="false">A17+1</f>
        <v>17</v>
      </c>
      <c r="B18" s="30" t="s">
        <v>360</v>
      </c>
      <c r="C18" s="30" t="s">
        <v>337</v>
      </c>
      <c r="D18" s="30" t="s">
        <v>301</v>
      </c>
      <c r="E18" s="30"/>
      <c r="F18" s="30" t="s">
        <v>356</v>
      </c>
      <c r="G18" s="28" t="s">
        <v>286</v>
      </c>
      <c r="H18" s="30" t="s">
        <v>357</v>
      </c>
      <c r="I18" s="28" t="s">
        <v>286</v>
      </c>
      <c r="J18" s="30" t="s">
        <v>358</v>
      </c>
      <c r="K18" s="34" t="n">
        <v>63</v>
      </c>
      <c r="L18" s="34" t="n">
        <v>60</v>
      </c>
      <c r="M18" s="34" t="n">
        <v>55</v>
      </c>
      <c r="N18" s="34" t="n">
        <v>50</v>
      </c>
      <c r="O18" s="34" t="n">
        <v>50</v>
      </c>
      <c r="P18" s="34" t="n">
        <v>71</v>
      </c>
      <c r="Q18" s="34" t="n">
        <f aca="false">SUM(K18:P18)</f>
        <v>349</v>
      </c>
      <c r="R18" s="34" t="n">
        <v>36</v>
      </c>
      <c r="S18" s="40" t="s">
        <v>361</v>
      </c>
      <c r="T18" s="34"/>
      <c r="U18" s="30"/>
    </row>
    <row r="19" customFormat="false" ht="16.5" hidden="false" customHeight="true" outlineLevel="0" collapsed="false">
      <c r="A19" s="31" t="n">
        <f aca="false">A18+1</f>
        <v>18</v>
      </c>
      <c r="B19" s="30" t="s">
        <v>362</v>
      </c>
      <c r="C19" s="30" t="s">
        <v>337</v>
      </c>
      <c r="D19" s="30" t="s">
        <v>301</v>
      </c>
      <c r="E19" s="30"/>
      <c r="F19" s="30" t="s">
        <v>363</v>
      </c>
      <c r="G19" s="30" t="s">
        <v>286</v>
      </c>
      <c r="H19" s="30" t="s">
        <v>364</v>
      </c>
      <c r="I19" s="28" t="s">
        <v>365</v>
      </c>
      <c r="J19" s="30" t="s">
        <v>366</v>
      </c>
      <c r="K19" s="34" t="n">
        <v>83</v>
      </c>
      <c r="L19" s="34" t="n">
        <v>80</v>
      </c>
      <c r="M19" s="34" t="n">
        <v>75</v>
      </c>
      <c r="N19" s="34" t="n">
        <v>70</v>
      </c>
      <c r="O19" s="34" t="n">
        <v>70</v>
      </c>
      <c r="P19" s="34" t="n">
        <v>101</v>
      </c>
      <c r="Q19" s="34" t="n">
        <f aca="false">SUM(K19:P19)</f>
        <v>479</v>
      </c>
      <c r="S19" s="40"/>
      <c r="T19" s="34"/>
      <c r="U19" s="30" t="n">
        <v>1</v>
      </c>
    </row>
    <row r="20" customFormat="false" ht="16.5" hidden="false" customHeight="true" outlineLevel="0" collapsed="false">
      <c r="A20" s="31" t="n">
        <f aca="false">A19+1</f>
        <v>19</v>
      </c>
      <c r="B20" s="30" t="s">
        <v>367</v>
      </c>
      <c r="C20" s="30" t="s">
        <v>337</v>
      </c>
      <c r="D20" s="30" t="s">
        <v>306</v>
      </c>
      <c r="E20" s="30"/>
      <c r="F20" s="30" t="s">
        <v>285</v>
      </c>
      <c r="G20" s="28" t="s">
        <v>286</v>
      </c>
      <c r="H20" s="30" t="s">
        <v>368</v>
      </c>
      <c r="I20" s="28" t="s">
        <v>286</v>
      </c>
      <c r="J20" s="30" t="s">
        <v>369</v>
      </c>
      <c r="K20" s="34" t="n">
        <v>30</v>
      </c>
      <c r="L20" s="34" t="n">
        <v>56</v>
      </c>
      <c r="M20" s="34" t="n">
        <v>35</v>
      </c>
      <c r="N20" s="34" t="n">
        <v>25</v>
      </c>
      <c r="O20" s="34" t="n">
        <v>35</v>
      </c>
      <c r="P20" s="34" t="n">
        <v>72</v>
      </c>
      <c r="Q20" s="34" t="n">
        <f aca="false">SUM(K20:P20)</f>
        <v>253</v>
      </c>
      <c r="R20" s="34" t="n">
        <v>20</v>
      </c>
      <c r="S20" s="40" t="s">
        <v>359</v>
      </c>
      <c r="T20" s="34"/>
      <c r="U20" s="30"/>
    </row>
    <row r="21" customFormat="false" ht="16.5" hidden="false" customHeight="true" outlineLevel="0" collapsed="false">
      <c r="A21" s="31" t="n">
        <f aca="false">A20+1</f>
        <v>20</v>
      </c>
      <c r="B21" s="30" t="s">
        <v>370</v>
      </c>
      <c r="C21" s="30" t="s">
        <v>337</v>
      </c>
      <c r="D21" s="30" t="s">
        <v>306</v>
      </c>
      <c r="E21" s="41" t="s">
        <v>371</v>
      </c>
      <c r="F21" s="30" t="s">
        <v>372</v>
      </c>
      <c r="G21" s="28" t="s">
        <v>373</v>
      </c>
      <c r="H21" s="30" t="s">
        <v>374</v>
      </c>
      <c r="I21" s="30" t="str">
        <f aca="false">I54</f>
        <v>急所に当たりやすい（15%）</v>
      </c>
      <c r="J21" s="30" t="s">
        <v>375</v>
      </c>
      <c r="K21" s="34" t="n">
        <v>55</v>
      </c>
      <c r="L21" s="34" t="n">
        <v>81</v>
      </c>
      <c r="M21" s="34" t="n">
        <v>60</v>
      </c>
      <c r="N21" s="34" t="n">
        <v>50</v>
      </c>
      <c r="O21" s="34" t="n">
        <v>70</v>
      </c>
      <c r="P21" s="34" t="n">
        <v>97</v>
      </c>
      <c r="Q21" s="34" t="n">
        <f aca="false">SUM(K21:P21)</f>
        <v>413</v>
      </c>
      <c r="S21" s="39" t="s">
        <v>376</v>
      </c>
      <c r="T21" s="34"/>
      <c r="U21" s="30" t="n">
        <v>1</v>
      </c>
    </row>
    <row r="22" customFormat="false" ht="16.5" hidden="false" customHeight="true" outlineLevel="0" collapsed="false">
      <c r="A22" s="31" t="n">
        <f aca="false">A21+1</f>
        <v>21</v>
      </c>
      <c r="B22" s="30" t="s">
        <v>377</v>
      </c>
      <c r="C22" s="30" t="s">
        <v>337</v>
      </c>
      <c r="D22" s="30" t="s">
        <v>301</v>
      </c>
      <c r="E22" s="30"/>
      <c r="F22" s="30" t="s">
        <v>356</v>
      </c>
      <c r="G22" s="28" t="s">
        <v>286</v>
      </c>
      <c r="H22" s="30" t="s">
        <v>357</v>
      </c>
      <c r="I22" s="28" t="s">
        <v>286</v>
      </c>
      <c r="J22" s="30" t="s">
        <v>358</v>
      </c>
      <c r="K22" s="34" t="n">
        <v>40</v>
      </c>
      <c r="L22" s="34" t="n">
        <v>60</v>
      </c>
      <c r="M22" s="34" t="n">
        <v>30</v>
      </c>
      <c r="N22" s="34" t="n">
        <v>31</v>
      </c>
      <c r="O22" s="34" t="n">
        <v>31</v>
      </c>
      <c r="P22" s="34" t="n">
        <v>70</v>
      </c>
      <c r="Q22" s="34" t="n">
        <f aca="false">SUM(K22:P22)</f>
        <v>262</v>
      </c>
      <c r="R22" s="34" t="n">
        <v>20</v>
      </c>
      <c r="S22" s="40" t="s">
        <v>378</v>
      </c>
      <c r="T22" s="34"/>
      <c r="U22" s="30"/>
    </row>
    <row r="23" customFormat="false" ht="16.5" hidden="false" customHeight="true" outlineLevel="0" collapsed="false">
      <c r="A23" s="31" t="n">
        <f aca="false">A22+1</f>
        <v>22</v>
      </c>
      <c r="B23" s="30" t="s">
        <v>379</v>
      </c>
      <c r="C23" s="30" t="s">
        <v>337</v>
      </c>
      <c r="D23" s="30" t="s">
        <v>301</v>
      </c>
      <c r="E23" s="30"/>
      <c r="F23" s="30" t="s">
        <v>363</v>
      </c>
      <c r="G23" s="30" t="s">
        <v>380</v>
      </c>
      <c r="H23" s="30" t="s">
        <v>364</v>
      </c>
      <c r="I23" s="28" t="s">
        <v>286</v>
      </c>
      <c r="J23" s="30" t="s">
        <v>366</v>
      </c>
      <c r="K23" s="34" t="n">
        <v>65</v>
      </c>
      <c r="L23" s="34" t="n">
        <v>90</v>
      </c>
      <c r="M23" s="34" t="n">
        <v>65</v>
      </c>
      <c r="N23" s="34" t="n">
        <v>61</v>
      </c>
      <c r="O23" s="34" t="n">
        <v>61</v>
      </c>
      <c r="P23" s="34" t="n">
        <v>100</v>
      </c>
      <c r="Q23" s="34" t="n">
        <f aca="false">SUM(K23:P23)</f>
        <v>442</v>
      </c>
      <c r="S23" s="39" t="s">
        <v>381</v>
      </c>
      <c r="T23" s="34"/>
      <c r="U23" s="30" t="n">
        <v>1</v>
      </c>
    </row>
    <row r="24" customFormat="false" ht="32.25" hidden="false" customHeight="true" outlineLevel="0" collapsed="false">
      <c r="A24" s="31" t="n">
        <f aca="false">A23+1</f>
        <v>23</v>
      </c>
      <c r="B24" s="30" t="s">
        <v>382</v>
      </c>
      <c r="C24" s="30" t="s">
        <v>317</v>
      </c>
      <c r="D24" s="30" t="s">
        <v>312</v>
      </c>
      <c r="E24" s="30"/>
      <c r="F24" s="30" t="s">
        <v>383</v>
      </c>
      <c r="G24" s="28" t="s">
        <v>286</v>
      </c>
      <c r="H24" s="30" t="s">
        <v>384</v>
      </c>
      <c r="I24" s="28" t="s">
        <v>286</v>
      </c>
      <c r="J24" s="30" t="s">
        <v>385</v>
      </c>
      <c r="K24" s="34" t="n">
        <v>35</v>
      </c>
      <c r="L24" s="34" t="n">
        <v>60</v>
      </c>
      <c r="M24" s="34" t="n">
        <v>44</v>
      </c>
      <c r="N24" s="34" t="n">
        <v>40</v>
      </c>
      <c r="O24" s="34" t="n">
        <v>54</v>
      </c>
      <c r="P24" s="34" t="n">
        <v>55</v>
      </c>
      <c r="Q24" s="34" t="n">
        <f aca="false">SUM(K24:P24)</f>
        <v>288</v>
      </c>
      <c r="R24" s="34" t="n">
        <v>22</v>
      </c>
      <c r="S24" s="40" t="s">
        <v>386</v>
      </c>
      <c r="T24" s="34"/>
      <c r="U24" s="30"/>
    </row>
    <row r="25" customFormat="false" ht="16.5" hidden="false" customHeight="true" outlineLevel="0" collapsed="false">
      <c r="A25" s="31" t="n">
        <f aca="false">A24+1</f>
        <v>24</v>
      </c>
      <c r="B25" s="30" t="s">
        <v>387</v>
      </c>
      <c r="C25" s="30" t="s">
        <v>317</v>
      </c>
      <c r="D25" s="30" t="s">
        <v>312</v>
      </c>
      <c r="E25" s="30" t="s">
        <v>388</v>
      </c>
      <c r="F25" s="30" t="s">
        <v>389</v>
      </c>
      <c r="G25" s="28" t="s">
        <v>286</v>
      </c>
      <c r="H25" s="30" t="s">
        <v>390</v>
      </c>
      <c r="I25" s="28" t="s">
        <v>391</v>
      </c>
      <c r="J25" s="30" t="s">
        <v>392</v>
      </c>
      <c r="K25" s="34" t="n">
        <v>60</v>
      </c>
      <c r="L25" s="34" t="n">
        <v>95</v>
      </c>
      <c r="M25" s="34" t="n">
        <v>69</v>
      </c>
      <c r="N25" s="34" t="n">
        <v>65</v>
      </c>
      <c r="O25" s="34" t="n">
        <v>79</v>
      </c>
      <c r="P25" s="34" t="n">
        <v>80</v>
      </c>
      <c r="Q25" s="34" t="n">
        <f aca="false">SUM(K25:P25)</f>
        <v>448</v>
      </c>
      <c r="S25" s="40"/>
      <c r="T25" s="34"/>
      <c r="U25" s="30" t="n">
        <v>1</v>
      </c>
    </row>
    <row r="26" customFormat="false" ht="27.75" hidden="false" customHeight="true" outlineLevel="0" collapsed="false">
      <c r="A26" s="31" t="n">
        <f aca="false">A25+1</f>
        <v>25</v>
      </c>
      <c r="B26" s="30" t="s">
        <v>393</v>
      </c>
      <c r="C26" s="30" t="s">
        <v>301</v>
      </c>
      <c r="D26" s="30" t="s">
        <v>306</v>
      </c>
      <c r="E26" s="30"/>
      <c r="F26" s="30" t="s">
        <v>394</v>
      </c>
      <c r="G26" s="28" t="s">
        <v>286</v>
      </c>
      <c r="H26" s="30" t="str">
        <f aca="false">H27</f>
        <v>10まんボルト</v>
      </c>
      <c r="I26" s="28" t="s">
        <v>395</v>
      </c>
      <c r="J26" s="30" t="s">
        <v>396</v>
      </c>
      <c r="K26" s="34" t="n">
        <v>35</v>
      </c>
      <c r="L26" s="34" t="n">
        <v>55</v>
      </c>
      <c r="M26" s="34" t="n">
        <v>40</v>
      </c>
      <c r="N26" s="34" t="n">
        <v>50</v>
      </c>
      <c r="O26" s="34" t="n">
        <v>50</v>
      </c>
      <c r="P26" s="34" t="n">
        <v>90</v>
      </c>
      <c r="Q26" s="34" t="n">
        <f aca="false">SUM(K26:P26)</f>
        <v>320</v>
      </c>
      <c r="R26" s="39" t="s">
        <v>115</v>
      </c>
      <c r="S26" s="39" t="s">
        <v>397</v>
      </c>
      <c r="T26" s="34"/>
      <c r="U26" s="30"/>
    </row>
    <row r="27" customFormat="false" ht="16.5" hidden="false" customHeight="true" outlineLevel="0" collapsed="false">
      <c r="A27" s="31" t="n">
        <f aca="false">A26+1</f>
        <v>26</v>
      </c>
      <c r="B27" s="30" t="s">
        <v>398</v>
      </c>
      <c r="C27" s="30" t="s">
        <v>301</v>
      </c>
      <c r="D27" s="30" t="s">
        <v>306</v>
      </c>
      <c r="E27" s="30" t="s">
        <v>399</v>
      </c>
      <c r="F27" s="30" t="s">
        <v>400</v>
      </c>
      <c r="G27" s="28" t="s">
        <v>286</v>
      </c>
      <c r="H27" s="28" t="s">
        <v>401</v>
      </c>
      <c r="I27" s="28" t="s">
        <v>395</v>
      </c>
      <c r="J27" s="30" t="s">
        <v>402</v>
      </c>
      <c r="K27" s="34" t="n">
        <v>60</v>
      </c>
      <c r="L27" s="34" t="n">
        <v>90</v>
      </c>
      <c r="M27" s="34" t="n">
        <v>55</v>
      </c>
      <c r="N27" s="34" t="n">
        <v>90</v>
      </c>
      <c r="O27" s="34" t="n">
        <v>80</v>
      </c>
      <c r="P27" s="34" t="n">
        <v>110</v>
      </c>
      <c r="Q27" s="34" t="n">
        <f aca="false">SUM(K27:P27)</f>
        <v>485</v>
      </c>
      <c r="S27" s="39" t="s">
        <v>403</v>
      </c>
      <c r="T27" s="34"/>
      <c r="U27" s="30" t="n">
        <v>1</v>
      </c>
    </row>
    <row r="28" customFormat="false" ht="32.25" hidden="false" customHeight="true" outlineLevel="0" collapsed="false">
      <c r="A28" s="31" t="n">
        <f aca="false">A27+1</f>
        <v>27</v>
      </c>
      <c r="B28" s="30" t="s">
        <v>404</v>
      </c>
      <c r="C28" s="30" t="s">
        <v>306</v>
      </c>
      <c r="D28" s="30" t="s">
        <v>283</v>
      </c>
      <c r="E28" s="30"/>
      <c r="F28" s="30" t="s">
        <v>405</v>
      </c>
      <c r="G28" s="28" t="s">
        <v>286</v>
      </c>
      <c r="H28" s="30" t="s">
        <v>406</v>
      </c>
      <c r="I28" s="28" t="s">
        <v>286</v>
      </c>
      <c r="J28" s="30" t="s">
        <v>407</v>
      </c>
      <c r="K28" s="34" t="n">
        <v>50</v>
      </c>
      <c r="L28" s="34" t="n">
        <v>75</v>
      </c>
      <c r="M28" s="34" t="n">
        <v>85</v>
      </c>
      <c r="N28" s="34" t="n">
        <v>20</v>
      </c>
      <c r="O28" s="34" t="n">
        <v>30</v>
      </c>
      <c r="P28" s="34" t="n">
        <v>40</v>
      </c>
      <c r="Q28" s="34" t="n">
        <f aca="false">SUM(K28:P28)</f>
        <v>300</v>
      </c>
      <c r="R28" s="34" t="n">
        <v>22</v>
      </c>
      <c r="S28" s="40" t="s">
        <v>408</v>
      </c>
      <c r="T28" s="34"/>
      <c r="U28" s="30"/>
    </row>
    <row r="29" customFormat="false" ht="16.5" hidden="false" customHeight="true" outlineLevel="0" collapsed="false">
      <c r="A29" s="31" t="n">
        <f aca="false">A28+1</f>
        <v>28</v>
      </c>
      <c r="B29" s="30" t="s">
        <v>409</v>
      </c>
      <c r="C29" s="30" t="s">
        <v>306</v>
      </c>
      <c r="D29" s="30" t="s">
        <v>283</v>
      </c>
      <c r="E29" s="30" t="s">
        <v>410</v>
      </c>
      <c r="F29" s="30" t="s">
        <v>411</v>
      </c>
      <c r="G29" s="28" t="s">
        <v>412</v>
      </c>
      <c r="H29" s="30" t="s">
        <v>413</v>
      </c>
      <c r="I29" s="28" t="s">
        <v>343</v>
      </c>
      <c r="J29" s="30" t="s">
        <v>414</v>
      </c>
      <c r="K29" s="34" t="n">
        <v>75</v>
      </c>
      <c r="L29" s="34" t="n">
        <v>100</v>
      </c>
      <c r="M29" s="34" t="n">
        <v>110</v>
      </c>
      <c r="N29" s="34" t="n">
        <v>45</v>
      </c>
      <c r="O29" s="34" t="n">
        <v>55</v>
      </c>
      <c r="P29" s="34" t="n">
        <v>65</v>
      </c>
      <c r="Q29" s="34" t="n">
        <f aca="false">SUM(K29:P29)</f>
        <v>450</v>
      </c>
      <c r="S29" s="40"/>
      <c r="T29" s="34"/>
      <c r="U29" s="30" t="n">
        <v>1</v>
      </c>
    </row>
    <row r="30" customFormat="false" ht="32.25" hidden="false" customHeight="true" outlineLevel="0" collapsed="false">
      <c r="A30" s="31" t="n">
        <f aca="false">A29+1</f>
        <v>29</v>
      </c>
      <c r="B30" s="30" t="s">
        <v>415</v>
      </c>
      <c r="C30" s="30" t="s">
        <v>312</v>
      </c>
      <c r="D30" s="30" t="s">
        <v>312</v>
      </c>
      <c r="E30" s="30"/>
      <c r="F30" s="30" t="s">
        <v>383</v>
      </c>
      <c r="G30" s="28" t="s">
        <v>286</v>
      </c>
      <c r="H30" s="30" t="s">
        <v>384</v>
      </c>
      <c r="I30" s="28" t="s">
        <v>286</v>
      </c>
      <c r="J30" s="30" t="s">
        <v>385</v>
      </c>
      <c r="K30" s="34" t="n">
        <v>55</v>
      </c>
      <c r="L30" s="34" t="n">
        <v>47</v>
      </c>
      <c r="M30" s="34" t="n">
        <v>52</v>
      </c>
      <c r="N30" s="34" t="n">
        <v>40</v>
      </c>
      <c r="O30" s="34" t="n">
        <v>40</v>
      </c>
      <c r="P30" s="34" t="n">
        <v>41</v>
      </c>
      <c r="Q30" s="34" t="n">
        <f aca="false">SUM(K30:P30)</f>
        <v>275</v>
      </c>
      <c r="R30" s="34" t="n">
        <v>16</v>
      </c>
      <c r="S30" s="40" t="s">
        <v>416</v>
      </c>
      <c r="T30" s="34"/>
      <c r="U30" s="30"/>
    </row>
    <row r="31" customFormat="false" ht="16.5" hidden="false" customHeight="true" outlineLevel="0" collapsed="false">
      <c r="A31" s="31" t="n">
        <f aca="false">A30+1</f>
        <v>30</v>
      </c>
      <c r="B31" s="30" t="s">
        <v>417</v>
      </c>
      <c r="C31" s="30" t="s">
        <v>312</v>
      </c>
      <c r="D31" s="30" t="s">
        <v>312</v>
      </c>
      <c r="E31" s="30"/>
      <c r="F31" s="30" t="s">
        <v>389</v>
      </c>
      <c r="G31" s="28" t="s">
        <v>286</v>
      </c>
      <c r="H31" s="30" t="s">
        <v>390</v>
      </c>
      <c r="I31" s="28" t="s">
        <v>286</v>
      </c>
      <c r="J31" s="30" t="s">
        <v>392</v>
      </c>
      <c r="K31" s="34" t="n">
        <v>70</v>
      </c>
      <c r="L31" s="34" t="n">
        <v>62</v>
      </c>
      <c r="M31" s="34" t="n">
        <v>67</v>
      </c>
      <c r="N31" s="34" t="n">
        <v>55</v>
      </c>
      <c r="O31" s="34" t="n">
        <v>55</v>
      </c>
      <c r="P31" s="34" t="n">
        <v>56</v>
      </c>
      <c r="Q31" s="34" t="n">
        <f aca="false">SUM(K31:P31)</f>
        <v>365</v>
      </c>
      <c r="R31" s="39" t="s">
        <v>119</v>
      </c>
      <c r="S31" s="39" t="s">
        <v>418</v>
      </c>
      <c r="T31" s="34"/>
      <c r="U31" s="30"/>
    </row>
    <row r="32" customFormat="false" ht="16.5" hidden="false" customHeight="true" outlineLevel="0" collapsed="false">
      <c r="A32" s="31" t="n">
        <f aca="false">A31+1</f>
        <v>31</v>
      </c>
      <c r="B32" s="30" t="s">
        <v>419</v>
      </c>
      <c r="C32" s="30" t="s">
        <v>312</v>
      </c>
      <c r="D32" s="30" t="s">
        <v>312</v>
      </c>
      <c r="E32" s="30"/>
      <c r="F32" s="30" t="s">
        <v>389</v>
      </c>
      <c r="G32" s="28" t="s">
        <v>286</v>
      </c>
      <c r="H32" s="30" t="s">
        <v>420</v>
      </c>
      <c r="I32" s="28" t="s">
        <v>286</v>
      </c>
      <c r="J32" s="30" t="s">
        <v>392</v>
      </c>
      <c r="K32" s="34" t="n">
        <v>90</v>
      </c>
      <c r="L32" s="34" t="n">
        <v>92</v>
      </c>
      <c r="M32" s="34" t="n">
        <v>87</v>
      </c>
      <c r="N32" s="34" t="n">
        <v>75</v>
      </c>
      <c r="O32" s="34" t="n">
        <v>85</v>
      </c>
      <c r="P32" s="34" t="n">
        <v>76</v>
      </c>
      <c r="Q32" s="34" t="n">
        <f aca="false">SUM(K32:P32)</f>
        <v>505</v>
      </c>
      <c r="S32" s="40"/>
      <c r="T32" s="34"/>
      <c r="U32" s="30" t="n">
        <v>1</v>
      </c>
    </row>
    <row r="33" customFormat="false" ht="32.25" hidden="false" customHeight="true" outlineLevel="0" collapsed="false">
      <c r="A33" s="31" t="n">
        <f aca="false">A32+1</f>
        <v>32</v>
      </c>
      <c r="B33" s="30" t="s">
        <v>421</v>
      </c>
      <c r="C33" s="30" t="s">
        <v>312</v>
      </c>
      <c r="D33" s="30" t="s">
        <v>312</v>
      </c>
      <c r="E33" s="30"/>
      <c r="F33" s="30" t="s">
        <v>383</v>
      </c>
      <c r="G33" s="28" t="s">
        <v>286</v>
      </c>
      <c r="H33" s="30" t="s">
        <v>384</v>
      </c>
      <c r="I33" s="28" t="s">
        <v>286</v>
      </c>
      <c r="J33" s="30" t="s">
        <v>385</v>
      </c>
      <c r="K33" s="34" t="n">
        <v>46</v>
      </c>
      <c r="L33" s="34" t="n">
        <v>57</v>
      </c>
      <c r="M33" s="34" t="n">
        <v>40</v>
      </c>
      <c r="N33" s="34" t="n">
        <v>40</v>
      </c>
      <c r="O33" s="34" t="n">
        <v>40</v>
      </c>
      <c r="P33" s="34" t="n">
        <v>50</v>
      </c>
      <c r="Q33" s="34" t="n">
        <f aca="false">SUM(K33:P33)</f>
        <v>273</v>
      </c>
      <c r="R33" s="34" t="n">
        <v>16</v>
      </c>
      <c r="S33" s="40" t="s">
        <v>416</v>
      </c>
      <c r="T33" s="34"/>
      <c r="U33" s="30"/>
    </row>
    <row r="34" customFormat="false" ht="16.5" hidden="false" customHeight="true" outlineLevel="0" collapsed="false">
      <c r="A34" s="31" t="n">
        <f aca="false">A33+1</f>
        <v>33</v>
      </c>
      <c r="B34" s="30" t="s">
        <v>422</v>
      </c>
      <c r="C34" s="30" t="s">
        <v>312</v>
      </c>
      <c r="D34" s="30" t="s">
        <v>312</v>
      </c>
      <c r="E34" s="30"/>
      <c r="F34" s="30" t="s">
        <v>389</v>
      </c>
      <c r="G34" s="28" t="s">
        <v>286</v>
      </c>
      <c r="H34" s="30" t="s">
        <v>390</v>
      </c>
      <c r="I34" s="28" t="s">
        <v>286</v>
      </c>
      <c r="J34" s="30" t="s">
        <v>392</v>
      </c>
      <c r="K34" s="34" t="n">
        <v>61</v>
      </c>
      <c r="L34" s="34" t="n">
        <v>72</v>
      </c>
      <c r="M34" s="34" t="n">
        <v>57</v>
      </c>
      <c r="N34" s="34" t="n">
        <v>55</v>
      </c>
      <c r="O34" s="34" t="n">
        <v>55</v>
      </c>
      <c r="P34" s="34" t="n">
        <v>65</v>
      </c>
      <c r="Q34" s="34" t="n">
        <f aca="false">SUM(K34:P34)</f>
        <v>365</v>
      </c>
      <c r="R34" s="39" t="s">
        <v>119</v>
      </c>
      <c r="S34" s="39" t="s">
        <v>418</v>
      </c>
      <c r="T34" s="34"/>
      <c r="U34" s="30"/>
    </row>
    <row r="35" customFormat="false" ht="16.5" hidden="false" customHeight="true" outlineLevel="0" collapsed="false">
      <c r="A35" s="31" t="n">
        <f aca="false">A34+1</f>
        <v>34</v>
      </c>
      <c r="B35" s="30" t="s">
        <v>423</v>
      </c>
      <c r="C35" s="30" t="s">
        <v>312</v>
      </c>
      <c r="D35" s="30" t="s">
        <v>312</v>
      </c>
      <c r="E35" s="30"/>
      <c r="F35" s="30" t="s">
        <v>389</v>
      </c>
      <c r="G35" s="28" t="s">
        <v>286</v>
      </c>
      <c r="H35" s="30" t="s">
        <v>420</v>
      </c>
      <c r="I35" s="28" t="s">
        <v>286</v>
      </c>
      <c r="J35" s="30" t="s">
        <v>392</v>
      </c>
      <c r="K35" s="34" t="n">
        <v>81</v>
      </c>
      <c r="L35" s="34" t="n">
        <v>102</v>
      </c>
      <c r="M35" s="34" t="n">
        <v>77</v>
      </c>
      <c r="N35" s="34" t="n">
        <v>85</v>
      </c>
      <c r="O35" s="34" t="n">
        <v>75</v>
      </c>
      <c r="P35" s="34" t="n">
        <v>85</v>
      </c>
      <c r="Q35" s="34" t="n">
        <f aca="false">SUM(K35:P35)</f>
        <v>505</v>
      </c>
      <c r="S35" s="40"/>
      <c r="T35" s="34"/>
      <c r="U35" s="30" t="n">
        <v>1</v>
      </c>
    </row>
    <row r="36" customFormat="false" ht="16.5" hidden="false" customHeight="true" outlineLevel="0" collapsed="false">
      <c r="A36" s="31" t="n">
        <f aca="false">A35+1</f>
        <v>35</v>
      </c>
      <c r="B36" s="30" t="s">
        <v>424</v>
      </c>
      <c r="C36" s="30" t="s">
        <v>322</v>
      </c>
      <c r="D36" s="30" t="s">
        <v>328</v>
      </c>
      <c r="E36" s="30"/>
      <c r="F36" s="30" t="s">
        <v>425</v>
      </c>
      <c r="G36" s="28" t="s">
        <v>286</v>
      </c>
      <c r="H36" s="30" t="s">
        <v>426</v>
      </c>
      <c r="I36" s="28" t="s">
        <v>286</v>
      </c>
      <c r="J36" s="30" t="s">
        <v>427</v>
      </c>
      <c r="K36" s="34" t="n">
        <v>70</v>
      </c>
      <c r="L36" s="34" t="n">
        <v>45</v>
      </c>
      <c r="M36" s="34" t="n">
        <v>48</v>
      </c>
      <c r="N36" s="34" t="n">
        <v>60</v>
      </c>
      <c r="O36" s="34" t="n">
        <v>65</v>
      </c>
      <c r="P36" s="34" t="n">
        <v>35</v>
      </c>
      <c r="Q36" s="34" t="n">
        <f aca="false">SUM(K36:P36)</f>
        <v>323</v>
      </c>
      <c r="R36" s="39" t="s">
        <v>119</v>
      </c>
      <c r="S36" s="39" t="s">
        <v>428</v>
      </c>
      <c r="T36" s="34"/>
      <c r="U36" s="30"/>
    </row>
    <row r="37" customFormat="false" ht="16.5" hidden="false" customHeight="true" outlineLevel="0" collapsed="false">
      <c r="A37" s="31" t="n">
        <f aca="false">A36+1</f>
        <v>36</v>
      </c>
      <c r="B37" s="30" t="s">
        <v>429</v>
      </c>
      <c r="C37" s="30" t="s">
        <v>322</v>
      </c>
      <c r="D37" s="30" t="s">
        <v>328</v>
      </c>
      <c r="E37" s="30"/>
      <c r="F37" s="30" t="s">
        <v>425</v>
      </c>
      <c r="G37" s="28" t="s">
        <v>286</v>
      </c>
      <c r="H37" s="30" t="s">
        <v>427</v>
      </c>
      <c r="I37" s="28" t="s">
        <v>430</v>
      </c>
      <c r="J37" s="30" t="s">
        <v>431</v>
      </c>
      <c r="K37" s="34" t="n">
        <v>95</v>
      </c>
      <c r="L37" s="34" t="n">
        <v>70</v>
      </c>
      <c r="M37" s="34" t="n">
        <v>73</v>
      </c>
      <c r="N37" s="34" t="n">
        <v>95</v>
      </c>
      <c r="O37" s="34" t="n">
        <v>90</v>
      </c>
      <c r="P37" s="34" t="n">
        <v>60</v>
      </c>
      <c r="Q37" s="34" t="n">
        <f aca="false">SUM(K37:P37)</f>
        <v>483</v>
      </c>
      <c r="S37" s="40"/>
      <c r="T37" s="34"/>
      <c r="U37" s="30" t="n">
        <v>1</v>
      </c>
    </row>
    <row r="38" customFormat="false" ht="16.5" hidden="false" customHeight="true" outlineLevel="0" collapsed="false">
      <c r="A38" s="31" t="n">
        <f aca="false">A37+1</f>
        <v>37</v>
      </c>
      <c r="B38" s="30" t="s">
        <v>432</v>
      </c>
      <c r="C38" s="30" t="s">
        <v>284</v>
      </c>
      <c r="D38" s="30" t="s">
        <v>293</v>
      </c>
      <c r="E38" s="30"/>
      <c r="F38" s="30" t="s">
        <v>298</v>
      </c>
      <c r="G38" s="28" t="s">
        <v>286</v>
      </c>
      <c r="H38" s="30" t="s">
        <v>299</v>
      </c>
      <c r="I38" s="28" t="s">
        <v>286</v>
      </c>
      <c r="J38" s="30" t="s">
        <v>300</v>
      </c>
      <c r="K38" s="34" t="n">
        <v>38</v>
      </c>
      <c r="L38" s="34" t="n">
        <v>41</v>
      </c>
      <c r="M38" s="34" t="n">
        <v>40</v>
      </c>
      <c r="N38" s="34" t="n">
        <v>50</v>
      </c>
      <c r="O38" s="34" t="n">
        <v>65</v>
      </c>
      <c r="P38" s="34" t="n">
        <v>65</v>
      </c>
      <c r="Q38" s="34" t="n">
        <f aca="false">SUM(K38:P38)</f>
        <v>299</v>
      </c>
      <c r="R38" s="39" t="s">
        <v>112</v>
      </c>
      <c r="S38" s="40" t="s">
        <v>433</v>
      </c>
      <c r="T38" s="34"/>
      <c r="U38" s="30"/>
    </row>
    <row r="39" customFormat="false" ht="16.5" hidden="false" customHeight="true" outlineLevel="0" collapsed="false">
      <c r="A39" s="31" t="n">
        <f aca="false">A38+1</f>
        <v>38</v>
      </c>
      <c r="B39" s="30" t="s">
        <v>434</v>
      </c>
      <c r="C39" s="30" t="s">
        <v>284</v>
      </c>
      <c r="D39" s="30" t="s">
        <v>293</v>
      </c>
      <c r="E39" s="30" t="s">
        <v>435</v>
      </c>
      <c r="F39" s="30" t="s">
        <v>309</v>
      </c>
      <c r="G39" s="28" t="s">
        <v>286</v>
      </c>
      <c r="H39" s="30" t="s">
        <v>310</v>
      </c>
      <c r="I39" s="28" t="s">
        <v>286</v>
      </c>
      <c r="J39" s="30" t="s">
        <v>436</v>
      </c>
      <c r="K39" s="34" t="n">
        <v>73</v>
      </c>
      <c r="L39" s="34" t="n">
        <v>76</v>
      </c>
      <c r="M39" s="34" t="n">
        <v>75</v>
      </c>
      <c r="N39" s="34" t="n">
        <v>81</v>
      </c>
      <c r="O39" s="34" t="n">
        <v>100</v>
      </c>
      <c r="P39" s="34" t="n">
        <v>100</v>
      </c>
      <c r="Q39" s="34" t="n">
        <f aca="false">SUM(K39:P39)</f>
        <v>505</v>
      </c>
      <c r="S39" s="40"/>
      <c r="T39" s="34"/>
      <c r="U39" s="30" t="n">
        <v>1</v>
      </c>
    </row>
    <row r="40" customFormat="false" ht="16.5" hidden="false" customHeight="true" outlineLevel="0" collapsed="false">
      <c r="A40" s="31" t="n">
        <f aca="false">A39+1</f>
        <v>39</v>
      </c>
      <c r="B40" s="30" t="s">
        <v>437</v>
      </c>
      <c r="C40" s="30" t="s">
        <v>322</v>
      </c>
      <c r="D40" s="30" t="s">
        <v>328</v>
      </c>
      <c r="E40" s="30"/>
      <c r="F40" s="30" t="s">
        <v>425</v>
      </c>
      <c r="G40" s="28" t="s">
        <v>286</v>
      </c>
      <c r="H40" s="30" t="s">
        <v>426</v>
      </c>
      <c r="I40" s="28" t="s">
        <v>286</v>
      </c>
      <c r="J40" s="30" t="s">
        <v>427</v>
      </c>
      <c r="K40" s="34" t="n">
        <v>115</v>
      </c>
      <c r="L40" s="34" t="n">
        <v>45</v>
      </c>
      <c r="M40" s="34" t="n">
        <v>20</v>
      </c>
      <c r="N40" s="34" t="n">
        <v>45</v>
      </c>
      <c r="O40" s="34" t="n">
        <v>25</v>
      </c>
      <c r="P40" s="34" t="n">
        <v>20</v>
      </c>
      <c r="Q40" s="34" t="n">
        <f aca="false">SUM(K40:P40)</f>
        <v>270</v>
      </c>
      <c r="R40" s="39" t="s">
        <v>119</v>
      </c>
      <c r="S40" s="40" t="s">
        <v>438</v>
      </c>
      <c r="T40" s="34"/>
      <c r="U40" s="30"/>
    </row>
    <row r="41" customFormat="false" ht="16.5" hidden="false" customHeight="true" outlineLevel="0" collapsed="false">
      <c r="A41" s="31" t="n">
        <f aca="false">A40+1</f>
        <v>40</v>
      </c>
      <c r="B41" s="30" t="s">
        <v>439</v>
      </c>
      <c r="C41" s="30" t="s">
        <v>322</v>
      </c>
      <c r="D41" s="30" t="s">
        <v>328</v>
      </c>
      <c r="E41" s="30"/>
      <c r="F41" s="30" t="s">
        <v>425</v>
      </c>
      <c r="G41" s="28" t="s">
        <v>440</v>
      </c>
      <c r="H41" s="30" t="s">
        <v>427</v>
      </c>
      <c r="I41" s="28" t="s">
        <v>343</v>
      </c>
      <c r="J41" s="30" t="s">
        <v>431</v>
      </c>
      <c r="K41" s="34" t="n">
        <v>140</v>
      </c>
      <c r="L41" s="34" t="n">
        <v>70</v>
      </c>
      <c r="M41" s="34" t="n">
        <v>45</v>
      </c>
      <c r="N41" s="34" t="n">
        <v>85</v>
      </c>
      <c r="O41" s="34" t="n">
        <v>50</v>
      </c>
      <c r="P41" s="34" t="n">
        <v>45</v>
      </c>
      <c r="Q41" s="34" t="n">
        <f aca="false">SUM(K41:P41)</f>
        <v>435</v>
      </c>
      <c r="S41" s="40"/>
      <c r="T41" s="34"/>
      <c r="U41" s="30" t="n">
        <v>1</v>
      </c>
    </row>
    <row r="42" customFormat="false" ht="27.75" hidden="false" customHeight="true" outlineLevel="0" collapsed="false">
      <c r="A42" s="31" t="n">
        <f aca="false">A41+1</f>
        <v>41</v>
      </c>
      <c r="B42" s="30" t="s">
        <v>441</v>
      </c>
      <c r="C42" s="30" t="s">
        <v>317</v>
      </c>
      <c r="D42" s="30" t="s">
        <v>312</v>
      </c>
      <c r="E42" s="30"/>
      <c r="F42" s="30" t="s">
        <v>383</v>
      </c>
      <c r="G42" s="28" t="s">
        <v>286</v>
      </c>
      <c r="H42" s="30" t="s">
        <v>384</v>
      </c>
      <c r="I42" s="28" t="s">
        <v>286</v>
      </c>
      <c r="J42" s="30" t="s">
        <v>385</v>
      </c>
      <c r="K42" s="34" t="n">
        <v>40</v>
      </c>
      <c r="L42" s="34" t="n">
        <v>45</v>
      </c>
      <c r="M42" s="34" t="n">
        <v>35</v>
      </c>
      <c r="N42" s="34" t="n">
        <v>30</v>
      </c>
      <c r="O42" s="34" t="n">
        <v>40</v>
      </c>
      <c r="P42" s="34" t="n">
        <v>55</v>
      </c>
      <c r="Q42" s="34" t="n">
        <f aca="false">SUM(K42:P42)</f>
        <v>245</v>
      </c>
      <c r="R42" s="34" t="n">
        <v>22</v>
      </c>
      <c r="S42" s="39" t="s">
        <v>442</v>
      </c>
      <c r="T42" s="34"/>
      <c r="U42" s="30"/>
    </row>
    <row r="43" customFormat="false" ht="27.75" hidden="false" customHeight="true" outlineLevel="0" collapsed="false">
      <c r="A43" s="31" t="n">
        <f aca="false">A42+1</f>
        <v>42</v>
      </c>
      <c r="B43" s="30" t="s">
        <v>443</v>
      </c>
      <c r="C43" s="30" t="s">
        <v>317</v>
      </c>
      <c r="D43" s="30" t="s">
        <v>312</v>
      </c>
      <c r="E43" s="30"/>
      <c r="F43" s="30" t="s">
        <v>389</v>
      </c>
      <c r="G43" s="28" t="s">
        <v>286</v>
      </c>
      <c r="H43" s="30" t="s">
        <v>390</v>
      </c>
      <c r="I43" s="28" t="s">
        <v>286</v>
      </c>
      <c r="J43" s="30" t="s">
        <v>392</v>
      </c>
      <c r="K43" s="34" t="n">
        <v>75</v>
      </c>
      <c r="L43" s="34" t="n">
        <v>80</v>
      </c>
      <c r="M43" s="34" t="n">
        <v>70</v>
      </c>
      <c r="N43" s="34" t="n">
        <v>65</v>
      </c>
      <c r="O43" s="34" t="n">
        <v>75</v>
      </c>
      <c r="P43" s="34" t="n">
        <v>90</v>
      </c>
      <c r="Q43" s="34" t="n">
        <f aca="false">SUM(K43:P43)</f>
        <v>455</v>
      </c>
      <c r="R43" s="42" t="s">
        <v>444</v>
      </c>
      <c r="S43" s="39" t="s">
        <v>381</v>
      </c>
      <c r="T43" s="34"/>
      <c r="U43" s="30"/>
    </row>
    <row r="44" customFormat="false" ht="16.5" hidden="false" customHeight="true" outlineLevel="0" collapsed="false">
      <c r="A44" s="31" t="n">
        <f aca="false">A43+1</f>
        <v>43</v>
      </c>
      <c r="B44" s="30" t="s">
        <v>445</v>
      </c>
      <c r="C44" s="30" t="s">
        <v>317</v>
      </c>
      <c r="D44" s="30" t="s">
        <v>312</v>
      </c>
      <c r="E44" s="30"/>
      <c r="F44" s="30" t="s">
        <v>389</v>
      </c>
      <c r="G44" s="28" t="s">
        <v>286</v>
      </c>
      <c r="H44" s="30" t="s">
        <v>420</v>
      </c>
      <c r="I44" s="28" t="s">
        <v>286</v>
      </c>
      <c r="J44" s="30" t="s">
        <v>392</v>
      </c>
      <c r="K44" s="34" t="n">
        <v>85</v>
      </c>
      <c r="L44" s="34" t="n">
        <v>90</v>
      </c>
      <c r="M44" s="34" t="n">
        <v>80</v>
      </c>
      <c r="N44" s="34" t="n">
        <v>70</v>
      </c>
      <c r="O44" s="34" t="n">
        <v>80</v>
      </c>
      <c r="P44" s="34" t="n">
        <v>130</v>
      </c>
      <c r="Q44" s="34" t="n">
        <f aca="false">SUM(K44:P44)</f>
        <v>535</v>
      </c>
      <c r="S44" s="40"/>
      <c r="T44" s="34"/>
      <c r="U44" s="30" t="n">
        <v>1</v>
      </c>
    </row>
    <row r="45" customFormat="false" ht="32.25" hidden="false" customHeight="true" outlineLevel="0" collapsed="false">
      <c r="A45" s="31" t="n">
        <f aca="false">A44+1</f>
        <v>44</v>
      </c>
      <c r="B45" s="30" t="s">
        <v>446</v>
      </c>
      <c r="C45" s="30" t="s">
        <v>283</v>
      </c>
      <c r="D45" s="30" t="s">
        <v>284</v>
      </c>
      <c r="E45" s="30"/>
      <c r="F45" s="30" t="s">
        <v>290</v>
      </c>
      <c r="G45" s="28" t="s">
        <v>286</v>
      </c>
      <c r="H45" s="30" t="s">
        <v>447</v>
      </c>
      <c r="I45" s="28" t="s">
        <v>286</v>
      </c>
      <c r="J45" s="30" t="s">
        <v>287</v>
      </c>
      <c r="K45" s="34" t="n">
        <v>45</v>
      </c>
      <c r="L45" s="34" t="n">
        <v>50</v>
      </c>
      <c r="M45" s="34" t="n">
        <v>55</v>
      </c>
      <c r="N45" s="34" t="n">
        <v>75</v>
      </c>
      <c r="O45" s="34" t="n">
        <v>65</v>
      </c>
      <c r="P45" s="34" t="n">
        <v>30</v>
      </c>
      <c r="Q45" s="34" t="n">
        <f aca="false">SUM(K45:P45)</f>
        <v>320</v>
      </c>
      <c r="R45" s="34" t="n">
        <v>21</v>
      </c>
      <c r="S45" s="40" t="s">
        <v>448</v>
      </c>
      <c r="T45" s="34"/>
      <c r="U45" s="30"/>
    </row>
    <row r="46" customFormat="false" ht="54.75" hidden="false" customHeight="true" outlineLevel="0" collapsed="false">
      <c r="A46" s="31" t="n">
        <f aca="false">A45+1</f>
        <v>45</v>
      </c>
      <c r="B46" s="30" t="s">
        <v>449</v>
      </c>
      <c r="C46" s="30" t="s">
        <v>283</v>
      </c>
      <c r="D46" s="30" t="s">
        <v>284</v>
      </c>
      <c r="E46" s="30"/>
      <c r="F46" s="30" t="s">
        <v>291</v>
      </c>
      <c r="G46" s="28" t="s">
        <v>286</v>
      </c>
      <c r="H46" s="30" t="s">
        <v>450</v>
      </c>
      <c r="I46" s="28" t="s">
        <v>286</v>
      </c>
      <c r="J46" s="30" t="s">
        <v>292</v>
      </c>
      <c r="K46" s="34" t="n">
        <v>60</v>
      </c>
      <c r="L46" s="34" t="n">
        <v>65</v>
      </c>
      <c r="M46" s="34" t="n">
        <v>70</v>
      </c>
      <c r="N46" s="34" t="n">
        <v>85</v>
      </c>
      <c r="O46" s="34" t="n">
        <v>75</v>
      </c>
      <c r="P46" s="34" t="n">
        <v>40</v>
      </c>
      <c r="Q46" s="34" t="n">
        <f aca="false">SUM(K46:P46)</f>
        <v>395</v>
      </c>
      <c r="R46" s="39" t="s">
        <v>451</v>
      </c>
      <c r="S46" s="40"/>
      <c r="T46" s="34"/>
      <c r="U46" s="30"/>
    </row>
    <row r="47" customFormat="false" ht="16.5" hidden="false" customHeight="true" outlineLevel="0" collapsed="false">
      <c r="A47" s="31" t="n">
        <f aca="false">A46+1</f>
        <v>46</v>
      </c>
      <c r="B47" s="30" t="s">
        <v>452</v>
      </c>
      <c r="C47" s="30" t="s">
        <v>283</v>
      </c>
      <c r="D47" s="30" t="s">
        <v>284</v>
      </c>
      <c r="E47" s="30" t="s">
        <v>453</v>
      </c>
      <c r="F47" s="30" t="s">
        <v>454</v>
      </c>
      <c r="G47" s="28" t="s">
        <v>286</v>
      </c>
      <c r="H47" s="30" t="s">
        <v>344</v>
      </c>
      <c r="I47" s="28" t="s">
        <v>455</v>
      </c>
      <c r="J47" s="30" t="s">
        <v>456</v>
      </c>
      <c r="K47" s="34" t="n">
        <v>75</v>
      </c>
      <c r="L47" s="34" t="n">
        <v>80</v>
      </c>
      <c r="M47" s="34" t="n">
        <v>85</v>
      </c>
      <c r="N47" s="34" t="n">
        <v>110</v>
      </c>
      <c r="O47" s="34" t="n">
        <v>90</v>
      </c>
      <c r="P47" s="34" t="n">
        <v>50</v>
      </c>
      <c r="Q47" s="34" t="n">
        <f aca="false">SUM(K47:P47)</f>
        <v>490</v>
      </c>
      <c r="S47" s="40"/>
      <c r="T47" s="34"/>
      <c r="U47" s="30" t="n">
        <v>1</v>
      </c>
    </row>
    <row r="48" customFormat="false" ht="16.5" hidden="false" customHeight="true" outlineLevel="0" collapsed="false">
      <c r="A48" s="31" t="n">
        <f aca="false">A47+1</f>
        <v>47</v>
      </c>
      <c r="B48" s="30" t="s">
        <v>457</v>
      </c>
      <c r="C48" s="30" t="s">
        <v>283</v>
      </c>
      <c r="D48" s="30" t="s">
        <v>284</v>
      </c>
      <c r="E48" s="30" t="s">
        <v>458</v>
      </c>
      <c r="F48" s="30" t="s">
        <v>454</v>
      </c>
      <c r="G48" s="28" t="s">
        <v>286</v>
      </c>
      <c r="H48" s="30" t="s">
        <v>344</v>
      </c>
      <c r="I48" s="28" t="s">
        <v>455</v>
      </c>
      <c r="J48" s="30" t="s">
        <v>456</v>
      </c>
      <c r="K48" s="34" t="n">
        <v>75</v>
      </c>
      <c r="L48" s="34" t="n">
        <v>80</v>
      </c>
      <c r="M48" s="34" t="n">
        <v>95</v>
      </c>
      <c r="N48" s="34" t="n">
        <v>90</v>
      </c>
      <c r="O48" s="34" t="n">
        <v>100</v>
      </c>
      <c r="P48" s="34" t="n">
        <v>50</v>
      </c>
      <c r="Q48" s="34" t="n">
        <f aca="false">SUM(K48:P48)</f>
        <v>490</v>
      </c>
      <c r="R48" s="40"/>
      <c r="S48" s="40"/>
      <c r="T48" s="34"/>
      <c r="U48" s="30" t="n">
        <v>1</v>
      </c>
    </row>
    <row r="49" customFormat="false" ht="32.25" hidden="false" customHeight="true" outlineLevel="0" collapsed="false">
      <c r="A49" s="31" t="n">
        <f aca="false">A48+1</f>
        <v>48</v>
      </c>
      <c r="B49" s="30" t="s">
        <v>459</v>
      </c>
      <c r="C49" s="30" t="s">
        <v>283</v>
      </c>
      <c r="D49" s="30" t="s">
        <v>284</v>
      </c>
      <c r="E49" s="30"/>
      <c r="F49" s="30" t="s">
        <v>330</v>
      </c>
      <c r="G49" s="28" t="s">
        <v>286</v>
      </c>
      <c r="H49" s="30" t="s">
        <v>331</v>
      </c>
      <c r="I49" s="28" t="s">
        <v>286</v>
      </c>
      <c r="J49" s="30" t="s">
        <v>332</v>
      </c>
      <c r="K49" s="34" t="n">
        <v>60</v>
      </c>
      <c r="L49" s="34" t="n">
        <v>55</v>
      </c>
      <c r="M49" s="34" t="n">
        <v>50</v>
      </c>
      <c r="N49" s="34" t="n">
        <v>40</v>
      </c>
      <c r="O49" s="34" t="n">
        <v>55</v>
      </c>
      <c r="P49" s="34" t="n">
        <v>45</v>
      </c>
      <c r="Q49" s="34" t="n">
        <f aca="false">SUM(K49:P49)</f>
        <v>305</v>
      </c>
      <c r="R49" s="34" t="n">
        <v>31</v>
      </c>
      <c r="S49" s="40" t="s">
        <v>460</v>
      </c>
      <c r="T49" s="34"/>
      <c r="U49" s="30"/>
    </row>
    <row r="50" customFormat="false" ht="16.5" hidden="false" customHeight="true" outlineLevel="0" collapsed="false">
      <c r="A50" s="31" t="n">
        <f aca="false">A49+1</f>
        <v>49</v>
      </c>
      <c r="B50" s="30" t="s">
        <v>461</v>
      </c>
      <c r="C50" s="30" t="s">
        <v>283</v>
      </c>
      <c r="D50" s="30" t="s">
        <v>284</v>
      </c>
      <c r="E50" s="30" t="s">
        <v>339</v>
      </c>
      <c r="F50" s="30" t="s">
        <v>462</v>
      </c>
      <c r="G50" s="28" t="s">
        <v>412</v>
      </c>
      <c r="H50" s="30" t="s">
        <v>342</v>
      </c>
      <c r="I50" s="28" t="s">
        <v>343</v>
      </c>
      <c r="J50" s="30" t="s">
        <v>463</v>
      </c>
      <c r="K50" s="34" t="n">
        <v>70</v>
      </c>
      <c r="L50" s="34" t="n">
        <v>65</v>
      </c>
      <c r="M50" s="34" t="n">
        <v>60</v>
      </c>
      <c r="N50" s="34" t="n">
        <v>90</v>
      </c>
      <c r="O50" s="34" t="n">
        <v>75</v>
      </c>
      <c r="P50" s="34" t="n">
        <v>90</v>
      </c>
      <c r="Q50" s="34" t="n">
        <f aca="false">SUM(K50:P50)</f>
        <v>450</v>
      </c>
      <c r="S50" s="39" t="s">
        <v>381</v>
      </c>
      <c r="T50" s="34"/>
      <c r="U50" s="30" t="n">
        <v>1</v>
      </c>
    </row>
    <row r="51" customFormat="false" ht="16.5" hidden="false" customHeight="true" outlineLevel="0" collapsed="false">
      <c r="A51" s="31" t="n">
        <f aca="false">A50+1</f>
        <v>50</v>
      </c>
      <c r="B51" s="30" t="s">
        <v>464</v>
      </c>
      <c r="C51" s="30" t="s">
        <v>306</v>
      </c>
      <c r="D51" s="30" t="s">
        <v>283</v>
      </c>
      <c r="E51" s="30"/>
      <c r="F51" s="30" t="s">
        <v>405</v>
      </c>
      <c r="G51" s="28" t="s">
        <v>286</v>
      </c>
      <c r="H51" s="30" t="s">
        <v>406</v>
      </c>
      <c r="I51" s="28" t="s">
        <v>286</v>
      </c>
      <c r="J51" s="30" t="s">
        <v>407</v>
      </c>
      <c r="K51" s="34" t="n">
        <v>10</v>
      </c>
      <c r="L51" s="34" t="n">
        <v>55</v>
      </c>
      <c r="M51" s="34" t="n">
        <v>25</v>
      </c>
      <c r="N51" s="34" t="n">
        <v>35</v>
      </c>
      <c r="O51" s="34" t="n">
        <v>45</v>
      </c>
      <c r="P51" s="34" t="n">
        <v>95</v>
      </c>
      <c r="Q51" s="34" t="n">
        <f aca="false">SUM(K51:P51)</f>
        <v>265</v>
      </c>
      <c r="R51" s="34" t="n">
        <v>26</v>
      </c>
      <c r="S51" s="39" t="s">
        <v>465</v>
      </c>
      <c r="T51" s="34"/>
      <c r="U51" s="30"/>
    </row>
    <row r="52" customFormat="false" ht="16.5" hidden="false" customHeight="true" outlineLevel="0" collapsed="false">
      <c r="A52" s="31" t="n">
        <f aca="false">A51+1</f>
        <v>51</v>
      </c>
      <c r="B52" s="30" t="s">
        <v>466</v>
      </c>
      <c r="C52" s="30" t="s">
        <v>306</v>
      </c>
      <c r="D52" s="30" t="s">
        <v>283</v>
      </c>
      <c r="E52" s="30" t="s">
        <v>467</v>
      </c>
      <c r="F52" s="30" t="s">
        <v>411</v>
      </c>
      <c r="G52" s="28" t="s">
        <v>412</v>
      </c>
      <c r="H52" s="30" t="s">
        <v>413</v>
      </c>
      <c r="I52" s="28" t="s">
        <v>343</v>
      </c>
      <c r="J52" s="30" t="s">
        <v>414</v>
      </c>
      <c r="K52" s="34" t="n">
        <v>35</v>
      </c>
      <c r="L52" s="34" t="n">
        <v>100</v>
      </c>
      <c r="M52" s="34" t="n">
        <v>50</v>
      </c>
      <c r="N52" s="34" t="n">
        <v>50</v>
      </c>
      <c r="O52" s="34" t="n">
        <v>70</v>
      </c>
      <c r="P52" s="34" t="n">
        <v>120</v>
      </c>
      <c r="Q52" s="34" t="n">
        <f aca="false">SUM(K52:P52)</f>
        <v>425</v>
      </c>
      <c r="S52" s="39" t="s">
        <v>465</v>
      </c>
      <c r="T52" s="34"/>
      <c r="U52" s="30" t="n">
        <v>1</v>
      </c>
    </row>
    <row r="53" customFormat="false" ht="16.5" hidden="false" customHeight="true" outlineLevel="0" collapsed="false">
      <c r="A53" s="31" t="n">
        <f aca="false">A52+1</f>
        <v>52</v>
      </c>
      <c r="B53" s="30" t="s">
        <v>468</v>
      </c>
      <c r="C53" s="30" t="s">
        <v>337</v>
      </c>
      <c r="D53" s="30" t="s">
        <v>306</v>
      </c>
      <c r="E53" s="30"/>
      <c r="F53" s="30" t="s">
        <v>285</v>
      </c>
      <c r="G53" s="28" t="s">
        <v>286</v>
      </c>
      <c r="H53" s="30" t="s">
        <v>368</v>
      </c>
      <c r="I53" s="28" t="s">
        <v>286</v>
      </c>
      <c r="J53" s="30" t="s">
        <v>369</v>
      </c>
      <c r="K53" s="34" t="n">
        <v>40</v>
      </c>
      <c r="L53" s="34" t="n">
        <v>45</v>
      </c>
      <c r="M53" s="34" t="n">
        <v>35</v>
      </c>
      <c r="N53" s="34" t="n">
        <v>40</v>
      </c>
      <c r="O53" s="34" t="n">
        <v>40</v>
      </c>
      <c r="P53" s="34" t="n">
        <v>90</v>
      </c>
      <c r="Q53" s="34" t="n">
        <f aca="false">SUM(K53:P53)</f>
        <v>290</v>
      </c>
      <c r="R53" s="34" t="n">
        <v>28</v>
      </c>
      <c r="S53" s="40" t="s">
        <v>469</v>
      </c>
      <c r="T53" s="34"/>
      <c r="U53" s="30"/>
    </row>
    <row r="54" customFormat="false" ht="16.5" hidden="false" customHeight="true" outlineLevel="0" collapsed="false">
      <c r="A54" s="31" t="n">
        <f aca="false">A53+1</f>
        <v>53</v>
      </c>
      <c r="B54" s="30" t="s">
        <v>470</v>
      </c>
      <c r="C54" s="30" t="s">
        <v>337</v>
      </c>
      <c r="D54" s="30" t="s">
        <v>306</v>
      </c>
      <c r="E54" s="30"/>
      <c r="F54" s="30" t="s">
        <v>372</v>
      </c>
      <c r="G54" s="28" t="s">
        <v>373</v>
      </c>
      <c r="H54" s="30" t="s">
        <v>374</v>
      </c>
      <c r="I54" s="41" t="s">
        <v>380</v>
      </c>
      <c r="J54" s="30" t="s">
        <v>375</v>
      </c>
      <c r="K54" s="34" t="n">
        <v>65</v>
      </c>
      <c r="L54" s="34" t="n">
        <v>70</v>
      </c>
      <c r="M54" s="34" t="n">
        <v>60</v>
      </c>
      <c r="N54" s="34" t="n">
        <v>65</v>
      </c>
      <c r="O54" s="34" t="n">
        <v>65</v>
      </c>
      <c r="P54" s="34" t="n">
        <v>115</v>
      </c>
      <c r="Q54" s="34" t="n">
        <f aca="false">SUM(K54:P54)</f>
        <v>440</v>
      </c>
      <c r="S54" s="40"/>
      <c r="T54" s="34"/>
      <c r="U54" s="30" t="n">
        <v>1</v>
      </c>
    </row>
    <row r="55" customFormat="false" ht="32.25" hidden="false" customHeight="true" outlineLevel="0" collapsed="false">
      <c r="A55" s="31" t="n">
        <f aca="false">A54+1</f>
        <v>54</v>
      </c>
      <c r="B55" s="30" t="s">
        <v>471</v>
      </c>
      <c r="C55" s="30" t="s">
        <v>293</v>
      </c>
      <c r="D55" s="30" t="s">
        <v>301</v>
      </c>
      <c r="E55" s="30"/>
      <c r="F55" s="30" t="s">
        <v>314</v>
      </c>
      <c r="G55" s="28" t="s">
        <v>286</v>
      </c>
      <c r="H55" s="30" t="s">
        <v>315</v>
      </c>
      <c r="I55" s="28" t="s">
        <v>286</v>
      </c>
      <c r="J55" s="30" t="s">
        <v>316</v>
      </c>
      <c r="K55" s="34" t="n">
        <v>50</v>
      </c>
      <c r="L55" s="34" t="n">
        <v>52</v>
      </c>
      <c r="M55" s="34" t="n">
        <v>48</v>
      </c>
      <c r="N55" s="34" t="n">
        <v>65</v>
      </c>
      <c r="O55" s="34" t="n">
        <v>50</v>
      </c>
      <c r="P55" s="34" t="n">
        <v>55</v>
      </c>
      <c r="Q55" s="34" t="n">
        <f aca="false">SUM(K55:P55)</f>
        <v>320</v>
      </c>
      <c r="R55" s="34" t="n">
        <v>33</v>
      </c>
      <c r="S55" s="40" t="s">
        <v>472</v>
      </c>
      <c r="T55" s="34"/>
      <c r="U55" s="30"/>
    </row>
    <row r="56" customFormat="false" ht="16.5" hidden="false" customHeight="true" outlineLevel="0" collapsed="false">
      <c r="A56" s="31" t="n">
        <f aca="false">A55+1</f>
        <v>55</v>
      </c>
      <c r="B56" s="30" t="s">
        <v>473</v>
      </c>
      <c r="C56" s="30" t="s">
        <v>293</v>
      </c>
      <c r="D56" s="30" t="s">
        <v>301</v>
      </c>
      <c r="E56" s="30" t="s">
        <v>474</v>
      </c>
      <c r="F56" s="30" t="s">
        <v>325</v>
      </c>
      <c r="G56" s="28" t="s">
        <v>412</v>
      </c>
      <c r="H56" s="30" t="s">
        <v>326</v>
      </c>
      <c r="I56" s="28" t="s">
        <v>475</v>
      </c>
      <c r="J56" s="30" t="s">
        <v>476</v>
      </c>
      <c r="K56" s="34" t="n">
        <v>80</v>
      </c>
      <c r="L56" s="34" t="n">
        <v>82</v>
      </c>
      <c r="M56" s="34" t="n">
        <v>78</v>
      </c>
      <c r="N56" s="34" t="n">
        <v>95</v>
      </c>
      <c r="O56" s="34" t="n">
        <v>80</v>
      </c>
      <c r="P56" s="34" t="n">
        <v>85</v>
      </c>
      <c r="Q56" s="34" t="n">
        <f aca="false">SUM(K56:P56)</f>
        <v>500</v>
      </c>
      <c r="S56" s="39" t="s">
        <v>381</v>
      </c>
      <c r="T56" s="34"/>
      <c r="U56" s="30" t="n">
        <v>1</v>
      </c>
    </row>
    <row r="57" customFormat="false" ht="16.5" hidden="false" customHeight="true" outlineLevel="0" collapsed="false">
      <c r="A57" s="31" t="n">
        <f aca="false">A56+1</f>
        <v>56</v>
      </c>
      <c r="B57" s="30" t="s">
        <v>477</v>
      </c>
      <c r="C57" s="30" t="s">
        <v>306</v>
      </c>
      <c r="D57" s="30" t="s">
        <v>312</v>
      </c>
      <c r="E57" s="30"/>
      <c r="F57" s="30" t="s">
        <v>478</v>
      </c>
      <c r="G57" s="28" t="s">
        <v>286</v>
      </c>
      <c r="H57" s="30" t="s">
        <v>479</v>
      </c>
      <c r="I57" s="28" t="s">
        <v>286</v>
      </c>
      <c r="J57" s="30" t="s">
        <v>480</v>
      </c>
      <c r="K57" s="34" t="n">
        <v>40</v>
      </c>
      <c r="L57" s="34" t="n">
        <v>80</v>
      </c>
      <c r="M57" s="34" t="n">
        <v>35</v>
      </c>
      <c r="N57" s="34" t="n">
        <v>35</v>
      </c>
      <c r="O57" s="34" t="n">
        <v>45</v>
      </c>
      <c r="P57" s="34" t="n">
        <v>70</v>
      </c>
      <c r="Q57" s="34" t="n">
        <f aca="false">SUM(K57:P57)</f>
        <v>305</v>
      </c>
      <c r="R57" s="34" t="n">
        <v>28</v>
      </c>
      <c r="S57" s="40" t="s">
        <v>481</v>
      </c>
      <c r="T57" s="34"/>
      <c r="U57" s="30"/>
    </row>
    <row r="58" customFormat="false" ht="16.5" hidden="false" customHeight="true" outlineLevel="0" collapsed="false">
      <c r="A58" s="31" t="n">
        <f aca="false">A57+1</f>
        <v>57</v>
      </c>
      <c r="B58" s="30" t="s">
        <v>482</v>
      </c>
      <c r="C58" s="30" t="s">
        <v>306</v>
      </c>
      <c r="D58" s="30" t="s">
        <v>312</v>
      </c>
      <c r="E58" s="30"/>
      <c r="F58" s="30" t="s">
        <v>483</v>
      </c>
      <c r="G58" s="30" t="s">
        <v>380</v>
      </c>
      <c r="H58" s="30" t="s">
        <v>484</v>
      </c>
      <c r="I58" s="28" t="s">
        <v>412</v>
      </c>
      <c r="J58" s="30" t="s">
        <v>485</v>
      </c>
      <c r="K58" s="34" t="n">
        <v>65</v>
      </c>
      <c r="L58" s="34" t="n">
        <v>105</v>
      </c>
      <c r="M58" s="34" t="n">
        <v>60</v>
      </c>
      <c r="N58" s="34" t="n">
        <v>60</v>
      </c>
      <c r="O58" s="34" t="n">
        <v>70</v>
      </c>
      <c r="P58" s="34" t="n">
        <v>95</v>
      </c>
      <c r="Q58" s="34" t="n">
        <f aca="false">SUM(K58:P58)</f>
        <v>455</v>
      </c>
      <c r="S58" s="40"/>
      <c r="T58" s="34"/>
      <c r="U58" s="30" t="n">
        <v>1</v>
      </c>
    </row>
    <row r="59" customFormat="false" ht="16.5" hidden="false" customHeight="true" outlineLevel="0" collapsed="false">
      <c r="A59" s="31" t="n">
        <f aca="false">A58+1</f>
        <v>58</v>
      </c>
      <c r="B59" s="30" t="s">
        <v>486</v>
      </c>
      <c r="C59" s="30" t="s">
        <v>284</v>
      </c>
      <c r="D59" s="30" t="s">
        <v>293</v>
      </c>
      <c r="E59" s="30"/>
      <c r="F59" s="30" t="s">
        <v>303</v>
      </c>
      <c r="G59" s="28" t="s">
        <v>286</v>
      </c>
      <c r="H59" s="30" t="s">
        <v>304</v>
      </c>
      <c r="I59" s="28" t="s">
        <v>286</v>
      </c>
      <c r="J59" s="30" t="s">
        <v>305</v>
      </c>
      <c r="K59" s="34" t="n">
        <v>55</v>
      </c>
      <c r="L59" s="34" t="n">
        <v>70</v>
      </c>
      <c r="M59" s="34" t="n">
        <v>45</v>
      </c>
      <c r="N59" s="34" t="n">
        <v>70</v>
      </c>
      <c r="O59" s="34" t="n">
        <v>50</v>
      </c>
      <c r="P59" s="34" t="n">
        <v>60</v>
      </c>
      <c r="Q59" s="34" t="n">
        <f aca="false">SUM(K59:P59)</f>
        <v>350</v>
      </c>
      <c r="R59" s="39" t="s">
        <v>112</v>
      </c>
      <c r="S59" s="40" t="s">
        <v>487</v>
      </c>
      <c r="T59" s="34"/>
      <c r="U59" s="30"/>
    </row>
    <row r="60" customFormat="false" ht="16.5" hidden="false" customHeight="true" outlineLevel="0" collapsed="false">
      <c r="A60" s="31" t="n">
        <f aca="false">A59+1</f>
        <v>59</v>
      </c>
      <c r="B60" s="30" t="s">
        <v>488</v>
      </c>
      <c r="C60" s="30" t="s">
        <v>284</v>
      </c>
      <c r="D60" s="30" t="s">
        <v>293</v>
      </c>
      <c r="E60" s="30" t="s">
        <v>388</v>
      </c>
      <c r="F60" s="30" t="s">
        <v>309</v>
      </c>
      <c r="G60" s="28" t="s">
        <v>489</v>
      </c>
      <c r="H60" s="30" t="s">
        <v>310</v>
      </c>
      <c r="I60" s="28" t="s">
        <v>286</v>
      </c>
      <c r="J60" s="30" t="s">
        <v>490</v>
      </c>
      <c r="K60" s="34" t="n">
        <v>90</v>
      </c>
      <c r="L60" s="34" t="n">
        <v>110</v>
      </c>
      <c r="M60" s="34" t="n">
        <v>80</v>
      </c>
      <c r="N60" s="34" t="n">
        <v>100</v>
      </c>
      <c r="O60" s="34" t="n">
        <v>80</v>
      </c>
      <c r="P60" s="34" t="n">
        <v>95</v>
      </c>
      <c r="Q60" s="34" t="n">
        <f aca="false">SUM(K60:P60)</f>
        <v>555</v>
      </c>
      <c r="S60" s="40"/>
      <c r="T60" s="34"/>
      <c r="U60" s="30" t="n">
        <v>1</v>
      </c>
    </row>
    <row r="61" customFormat="false" ht="16.5" hidden="false" customHeight="true" outlineLevel="0" collapsed="false">
      <c r="A61" s="31" t="n">
        <f aca="false">A60+1</f>
        <v>60</v>
      </c>
      <c r="B61" s="30" t="s">
        <v>491</v>
      </c>
      <c r="C61" s="30" t="s">
        <v>293</v>
      </c>
      <c r="D61" s="30" t="s">
        <v>301</v>
      </c>
      <c r="E61" s="30"/>
      <c r="F61" s="30" t="s">
        <v>314</v>
      </c>
      <c r="G61" s="28" t="s">
        <v>286</v>
      </c>
      <c r="H61" s="30" t="s">
        <v>315</v>
      </c>
      <c r="I61" s="28" t="s">
        <v>286</v>
      </c>
      <c r="J61" s="30" t="s">
        <v>316</v>
      </c>
      <c r="K61" s="34" t="n">
        <v>40</v>
      </c>
      <c r="L61" s="34" t="n">
        <v>50</v>
      </c>
      <c r="M61" s="34" t="n">
        <v>40</v>
      </c>
      <c r="N61" s="34" t="n">
        <v>40</v>
      </c>
      <c r="O61" s="34" t="n">
        <v>40</v>
      </c>
      <c r="P61" s="34" t="n">
        <v>90</v>
      </c>
      <c r="Q61" s="34" t="n">
        <f aca="false">SUM(K61:P61)</f>
        <v>300</v>
      </c>
      <c r="R61" s="34" t="n">
        <v>25</v>
      </c>
      <c r="S61" s="39" t="s">
        <v>492</v>
      </c>
      <c r="T61" s="34"/>
      <c r="U61" s="30"/>
    </row>
    <row r="62" customFormat="false" ht="54" hidden="false" customHeight="true" outlineLevel="0" collapsed="false">
      <c r="A62" s="31" t="n">
        <f aca="false">A61+1</f>
        <v>61</v>
      </c>
      <c r="B62" s="30" t="s">
        <v>493</v>
      </c>
      <c r="C62" s="30" t="s">
        <v>293</v>
      </c>
      <c r="D62" s="30" t="s">
        <v>301</v>
      </c>
      <c r="E62" s="30"/>
      <c r="F62" s="30" t="s">
        <v>319</v>
      </c>
      <c r="G62" s="28" t="s">
        <v>286</v>
      </c>
      <c r="H62" s="30" t="s">
        <v>320</v>
      </c>
      <c r="I62" s="28" t="s">
        <v>286</v>
      </c>
      <c r="J62" s="30" t="s">
        <v>321</v>
      </c>
      <c r="K62" s="34" t="n">
        <v>65</v>
      </c>
      <c r="L62" s="34" t="n">
        <v>65</v>
      </c>
      <c r="M62" s="34" t="n">
        <v>65</v>
      </c>
      <c r="N62" s="34" t="n">
        <v>50</v>
      </c>
      <c r="O62" s="34" t="n">
        <v>50</v>
      </c>
      <c r="P62" s="34" t="n">
        <v>90</v>
      </c>
      <c r="Q62" s="34" t="n">
        <f aca="false">SUM(K62:P62)</f>
        <v>385</v>
      </c>
      <c r="R62" s="23" t="s">
        <v>494</v>
      </c>
      <c r="S62" s="39" t="s">
        <v>492</v>
      </c>
      <c r="T62" s="34"/>
      <c r="U62" s="30"/>
    </row>
    <row r="63" customFormat="false" ht="16.5" hidden="false" customHeight="true" outlineLevel="0" collapsed="false">
      <c r="A63" s="31" t="n">
        <f aca="false">A62+1</f>
        <v>62</v>
      </c>
      <c r="B63" s="30" t="s">
        <v>495</v>
      </c>
      <c r="C63" s="30" t="s">
        <v>293</v>
      </c>
      <c r="D63" s="30" t="s">
        <v>301</v>
      </c>
      <c r="E63" s="30" t="s">
        <v>474</v>
      </c>
      <c r="F63" s="30" t="s">
        <v>325</v>
      </c>
      <c r="G63" s="28" t="s">
        <v>286</v>
      </c>
      <c r="H63" s="30" t="s">
        <v>326</v>
      </c>
      <c r="I63" s="28" t="s">
        <v>475</v>
      </c>
      <c r="J63" s="30" t="s">
        <v>476</v>
      </c>
      <c r="K63" s="34" t="n">
        <v>90</v>
      </c>
      <c r="L63" s="34" t="n">
        <v>95</v>
      </c>
      <c r="M63" s="34" t="n">
        <v>95</v>
      </c>
      <c r="N63" s="34" t="n">
        <v>70</v>
      </c>
      <c r="O63" s="34" t="n">
        <v>90</v>
      </c>
      <c r="P63" s="34" t="n">
        <v>70</v>
      </c>
      <c r="Q63" s="34" t="n">
        <f aca="false">SUM(K63:P63)</f>
        <v>510</v>
      </c>
      <c r="R63" s="40"/>
      <c r="S63" s="40"/>
      <c r="T63" s="34"/>
      <c r="U63" s="30" t="n">
        <v>1</v>
      </c>
    </row>
    <row r="64" customFormat="false" ht="16.5" hidden="false" customHeight="true" outlineLevel="0" collapsed="false">
      <c r="A64" s="31" t="n">
        <f aca="false">A63+1</f>
        <v>63</v>
      </c>
      <c r="B64" s="30" t="s">
        <v>496</v>
      </c>
      <c r="C64" s="30" t="s">
        <v>293</v>
      </c>
      <c r="D64" s="30" t="s">
        <v>301</v>
      </c>
      <c r="E64" s="30" t="s">
        <v>497</v>
      </c>
      <c r="F64" s="30" t="s">
        <v>325</v>
      </c>
      <c r="G64" s="28" t="s">
        <v>412</v>
      </c>
      <c r="H64" s="30" t="s">
        <v>498</v>
      </c>
      <c r="I64" s="28" t="s">
        <v>489</v>
      </c>
      <c r="J64" s="30" t="s">
        <v>476</v>
      </c>
      <c r="K64" s="34" t="n">
        <v>90</v>
      </c>
      <c r="L64" s="34" t="n">
        <v>75</v>
      </c>
      <c r="M64" s="34" t="n">
        <v>75</v>
      </c>
      <c r="N64" s="34" t="n">
        <v>90</v>
      </c>
      <c r="O64" s="34" t="n">
        <v>100</v>
      </c>
      <c r="P64" s="34" t="n">
        <v>70</v>
      </c>
      <c r="Q64" s="34" t="n">
        <f aca="false">SUM(K64:P64)</f>
        <v>500</v>
      </c>
      <c r="R64" s="40"/>
      <c r="S64" s="40"/>
      <c r="T64" s="34"/>
      <c r="U64" s="30" t="n">
        <v>1</v>
      </c>
    </row>
    <row r="65" customFormat="false" ht="32.25" hidden="false" customHeight="true" outlineLevel="0" collapsed="false">
      <c r="A65" s="31" t="n">
        <f aca="false">A64+1</f>
        <v>64</v>
      </c>
      <c r="B65" s="30" t="s">
        <v>499</v>
      </c>
      <c r="C65" s="30" t="s">
        <v>312</v>
      </c>
      <c r="D65" s="30" t="s">
        <v>312</v>
      </c>
      <c r="E65" s="30"/>
      <c r="F65" s="30" t="s">
        <v>500</v>
      </c>
      <c r="G65" s="28" t="s">
        <v>286</v>
      </c>
      <c r="H65" s="30" t="s">
        <v>501</v>
      </c>
      <c r="I65" s="28" t="s">
        <v>286</v>
      </c>
      <c r="J65" s="30" t="s">
        <v>340</v>
      </c>
      <c r="K65" s="34" t="n">
        <v>25</v>
      </c>
      <c r="L65" s="34" t="n">
        <v>20</v>
      </c>
      <c r="M65" s="34" t="n">
        <v>15</v>
      </c>
      <c r="N65" s="34" t="n">
        <v>105</v>
      </c>
      <c r="O65" s="34" t="n">
        <v>55</v>
      </c>
      <c r="P65" s="34" t="n">
        <v>90</v>
      </c>
      <c r="Q65" s="34" t="n">
        <f aca="false">SUM(K65:P65)</f>
        <v>310</v>
      </c>
      <c r="R65" s="34" t="n">
        <v>16</v>
      </c>
      <c r="S65" s="40" t="s">
        <v>502</v>
      </c>
      <c r="T65" s="34"/>
      <c r="U65" s="30"/>
    </row>
    <row r="66" customFormat="false" ht="27.75" hidden="false" customHeight="true" outlineLevel="0" collapsed="false">
      <c r="A66" s="31" t="n">
        <f aca="false">A65+1</f>
        <v>65</v>
      </c>
      <c r="B66" s="30" t="s">
        <v>503</v>
      </c>
      <c r="C66" s="30" t="s">
        <v>312</v>
      </c>
      <c r="D66" s="30" t="s">
        <v>312</v>
      </c>
      <c r="E66" s="30"/>
      <c r="F66" s="30" t="s">
        <v>500</v>
      </c>
      <c r="G66" s="28" t="s">
        <v>286</v>
      </c>
      <c r="H66" s="30" t="s">
        <v>504</v>
      </c>
      <c r="I66" s="28" t="s">
        <v>286</v>
      </c>
      <c r="J66" s="30" t="s">
        <v>505</v>
      </c>
      <c r="K66" s="34" t="n">
        <v>40</v>
      </c>
      <c r="L66" s="34" t="n">
        <v>35</v>
      </c>
      <c r="M66" s="34" t="n">
        <v>30</v>
      </c>
      <c r="N66" s="34" t="n">
        <v>120</v>
      </c>
      <c r="O66" s="34" t="n">
        <v>70</v>
      </c>
      <c r="P66" s="34" t="n">
        <v>105</v>
      </c>
      <c r="Q66" s="34" t="n">
        <f aca="false">SUM(K66:P66)</f>
        <v>400</v>
      </c>
      <c r="R66" s="39" t="s">
        <v>506</v>
      </c>
      <c r="S66" s="39" t="s">
        <v>381</v>
      </c>
      <c r="T66" s="34"/>
      <c r="U66" s="30"/>
    </row>
    <row r="67" customFormat="false" ht="16.5" hidden="false" customHeight="true" outlineLevel="0" collapsed="false">
      <c r="A67" s="31" t="n">
        <f aca="false">A66+1</f>
        <v>66</v>
      </c>
      <c r="B67" s="30" t="s">
        <v>507</v>
      </c>
      <c r="C67" s="30" t="s">
        <v>312</v>
      </c>
      <c r="D67" s="30" t="s">
        <v>312</v>
      </c>
      <c r="E67" s="30"/>
      <c r="F67" s="30" t="s">
        <v>508</v>
      </c>
      <c r="G67" s="28" t="s">
        <v>365</v>
      </c>
      <c r="H67" s="30" t="s">
        <v>504</v>
      </c>
      <c r="I67" s="28" t="s">
        <v>286</v>
      </c>
      <c r="J67" s="30" t="s">
        <v>509</v>
      </c>
      <c r="K67" s="34" t="n">
        <v>55</v>
      </c>
      <c r="L67" s="34" t="n">
        <v>50</v>
      </c>
      <c r="M67" s="34" t="n">
        <v>45</v>
      </c>
      <c r="N67" s="34" t="n">
        <v>135</v>
      </c>
      <c r="O67" s="34" t="n">
        <v>95</v>
      </c>
      <c r="P67" s="34" t="n">
        <v>120</v>
      </c>
      <c r="Q67" s="34" t="n">
        <f aca="false">SUM(K67:P67)</f>
        <v>500</v>
      </c>
      <c r="S67" s="40"/>
      <c r="T67" s="34"/>
      <c r="U67" s="30" t="n">
        <v>1</v>
      </c>
    </row>
    <row r="68" customFormat="false" ht="27.75" hidden="false" customHeight="true" outlineLevel="0" collapsed="false">
      <c r="A68" s="31" t="n">
        <f aca="false">A67+1</f>
        <v>67</v>
      </c>
      <c r="B68" s="30" t="s">
        <v>510</v>
      </c>
      <c r="C68" s="30" t="s">
        <v>306</v>
      </c>
      <c r="D68" s="30" t="s">
        <v>312</v>
      </c>
      <c r="E68" s="30"/>
      <c r="F68" s="30" t="s">
        <v>478</v>
      </c>
      <c r="G68" s="28" t="s">
        <v>286</v>
      </c>
      <c r="H68" s="30" t="s">
        <v>479</v>
      </c>
      <c r="I68" s="28" t="s">
        <v>286</v>
      </c>
      <c r="J68" s="30" t="s">
        <v>480</v>
      </c>
      <c r="K68" s="34" t="n">
        <v>70</v>
      </c>
      <c r="L68" s="34" t="n">
        <v>80</v>
      </c>
      <c r="M68" s="34" t="n">
        <v>50</v>
      </c>
      <c r="N68" s="34" t="n">
        <v>35</v>
      </c>
      <c r="O68" s="34" t="n">
        <v>35</v>
      </c>
      <c r="P68" s="34" t="n">
        <v>35</v>
      </c>
      <c r="Q68" s="34" t="n">
        <f aca="false">SUM(K68:P68)</f>
        <v>305</v>
      </c>
      <c r="R68" s="34" t="n">
        <v>28</v>
      </c>
      <c r="S68" s="39" t="s">
        <v>442</v>
      </c>
      <c r="T68" s="34"/>
      <c r="U68" s="30"/>
    </row>
    <row r="69" customFormat="false" ht="16.5" hidden="false" customHeight="true" outlineLevel="0" collapsed="false">
      <c r="A69" s="31" t="n">
        <f aca="false">A68+1</f>
        <v>68</v>
      </c>
      <c r="B69" s="30" t="s">
        <v>511</v>
      </c>
      <c r="C69" s="30" t="s">
        <v>306</v>
      </c>
      <c r="D69" s="30" t="s">
        <v>312</v>
      </c>
      <c r="E69" s="30"/>
      <c r="F69" s="30" t="s">
        <v>483</v>
      </c>
      <c r="G69" s="28" t="s">
        <v>286</v>
      </c>
      <c r="H69" s="30" t="s">
        <v>484</v>
      </c>
      <c r="I69" s="28" t="s">
        <v>286</v>
      </c>
      <c r="J69" s="30" t="s">
        <v>485</v>
      </c>
      <c r="K69" s="34" t="n">
        <v>80</v>
      </c>
      <c r="L69" s="34" t="n">
        <v>100</v>
      </c>
      <c r="M69" s="34" t="n">
        <v>70</v>
      </c>
      <c r="N69" s="34" t="n">
        <v>50</v>
      </c>
      <c r="O69" s="34" t="n">
        <v>60</v>
      </c>
      <c r="P69" s="34" t="n">
        <v>45</v>
      </c>
      <c r="Q69" s="34" t="n">
        <f aca="false">SUM(K69:P69)</f>
        <v>405</v>
      </c>
      <c r="R69" s="16" t="s">
        <v>512</v>
      </c>
      <c r="S69" s="39" t="s">
        <v>513</v>
      </c>
      <c r="T69" s="34"/>
      <c r="U69" s="30"/>
      <c r="V69" s="16"/>
      <c r="W69" s="16"/>
    </row>
    <row r="70" customFormat="false" ht="16.5" hidden="false" customHeight="true" outlineLevel="0" collapsed="false">
      <c r="A70" s="31" t="n">
        <f aca="false">A69+1</f>
        <v>69</v>
      </c>
      <c r="B70" s="30" t="s">
        <v>514</v>
      </c>
      <c r="C70" s="30" t="s">
        <v>306</v>
      </c>
      <c r="D70" s="30" t="s">
        <v>312</v>
      </c>
      <c r="E70" s="30"/>
      <c r="F70" s="30" t="s">
        <v>515</v>
      </c>
      <c r="G70" s="28" t="s">
        <v>286</v>
      </c>
      <c r="H70" s="30" t="s">
        <v>516</v>
      </c>
      <c r="I70" s="30" t="s">
        <v>380</v>
      </c>
      <c r="J70" s="30" t="s">
        <v>480</v>
      </c>
      <c r="K70" s="34" t="n">
        <v>90</v>
      </c>
      <c r="L70" s="34" t="n">
        <v>130</v>
      </c>
      <c r="M70" s="34" t="n">
        <v>80</v>
      </c>
      <c r="N70" s="34" t="n">
        <v>65</v>
      </c>
      <c r="O70" s="34" t="n">
        <v>85</v>
      </c>
      <c r="P70" s="34" t="n">
        <v>55</v>
      </c>
      <c r="Q70" s="34" t="n">
        <f aca="false">SUM(K70:P70)</f>
        <v>505</v>
      </c>
      <c r="R70" s="40"/>
      <c r="S70" s="40"/>
      <c r="T70" s="34"/>
      <c r="U70" s="30" t="n">
        <v>1</v>
      </c>
      <c r="V70" s="16"/>
      <c r="W70" s="16"/>
    </row>
    <row r="71" customFormat="false" ht="32.25" hidden="false" customHeight="true" outlineLevel="0" collapsed="false">
      <c r="A71" s="31" t="n">
        <f aca="false">A70+1</f>
        <v>70</v>
      </c>
      <c r="B71" s="30" t="s">
        <v>517</v>
      </c>
      <c r="C71" s="30" t="s">
        <v>283</v>
      </c>
      <c r="D71" s="30" t="s">
        <v>284</v>
      </c>
      <c r="E71" s="30"/>
      <c r="F71" s="30" t="s">
        <v>290</v>
      </c>
      <c r="G71" s="28" t="s">
        <v>286</v>
      </c>
      <c r="H71" s="30" t="s">
        <v>447</v>
      </c>
      <c r="I71" s="28" t="s">
        <v>286</v>
      </c>
      <c r="J71" s="30" t="s">
        <v>287</v>
      </c>
      <c r="K71" s="34" t="n">
        <v>50</v>
      </c>
      <c r="L71" s="34" t="n">
        <v>75</v>
      </c>
      <c r="M71" s="34" t="n">
        <v>35</v>
      </c>
      <c r="N71" s="34" t="n">
        <v>70</v>
      </c>
      <c r="O71" s="34" t="n">
        <v>30</v>
      </c>
      <c r="P71" s="34" t="n">
        <v>40</v>
      </c>
      <c r="Q71" s="34" t="n">
        <f aca="false">SUM(K71:P71)</f>
        <v>300</v>
      </c>
      <c r="R71" s="34" t="n">
        <v>21</v>
      </c>
      <c r="S71" s="40" t="s">
        <v>518</v>
      </c>
      <c r="T71" s="34"/>
      <c r="U71" s="30"/>
      <c r="V71" s="16"/>
      <c r="W71" s="16"/>
    </row>
    <row r="72" customFormat="false" ht="16.5" hidden="false" customHeight="true" outlineLevel="0" collapsed="false">
      <c r="A72" s="31" t="n">
        <f aca="false">A71+1</f>
        <v>71</v>
      </c>
      <c r="B72" s="30" t="s">
        <v>519</v>
      </c>
      <c r="C72" s="30" t="s">
        <v>283</v>
      </c>
      <c r="D72" s="30" t="s">
        <v>284</v>
      </c>
      <c r="E72" s="30"/>
      <c r="F72" s="30" t="s">
        <v>291</v>
      </c>
      <c r="G72" s="28" t="s">
        <v>286</v>
      </c>
      <c r="H72" s="30" t="s">
        <v>450</v>
      </c>
      <c r="I72" s="28" t="s">
        <v>286</v>
      </c>
      <c r="J72" s="30" t="s">
        <v>292</v>
      </c>
      <c r="K72" s="34" t="n">
        <v>65</v>
      </c>
      <c r="L72" s="34" t="n">
        <v>90</v>
      </c>
      <c r="M72" s="34" t="n">
        <v>50</v>
      </c>
      <c r="N72" s="34" t="n">
        <v>85</v>
      </c>
      <c r="O72" s="34" t="n">
        <v>45</v>
      </c>
      <c r="P72" s="34" t="n">
        <v>55</v>
      </c>
      <c r="Q72" s="34" t="n">
        <f aca="false">SUM(K72:P72)</f>
        <v>390</v>
      </c>
      <c r="R72" s="39" t="s">
        <v>116</v>
      </c>
      <c r="S72" s="40"/>
      <c r="T72" s="34"/>
      <c r="U72" s="30"/>
      <c r="V72" s="16"/>
      <c r="W72" s="16"/>
    </row>
    <row r="73" customFormat="false" ht="16.5" hidden="false" customHeight="true" outlineLevel="0" collapsed="false">
      <c r="A73" s="31" t="n">
        <f aca="false">A72+1</f>
        <v>72</v>
      </c>
      <c r="B73" s="30" t="s">
        <v>520</v>
      </c>
      <c r="C73" s="30" t="s">
        <v>283</v>
      </c>
      <c r="D73" s="30" t="s">
        <v>284</v>
      </c>
      <c r="E73" s="30" t="s">
        <v>453</v>
      </c>
      <c r="F73" s="30" t="s">
        <v>454</v>
      </c>
      <c r="G73" s="28" t="s">
        <v>286</v>
      </c>
      <c r="H73" s="30" t="s">
        <v>344</v>
      </c>
      <c r="I73" s="28" t="s">
        <v>455</v>
      </c>
      <c r="J73" s="30" t="s">
        <v>456</v>
      </c>
      <c r="K73" s="34" t="n">
        <v>80</v>
      </c>
      <c r="L73" s="34" t="n">
        <v>105</v>
      </c>
      <c r="M73" s="34" t="n">
        <v>65</v>
      </c>
      <c r="N73" s="34" t="n">
        <v>100</v>
      </c>
      <c r="O73" s="34" t="n">
        <v>70</v>
      </c>
      <c r="P73" s="34" t="n">
        <v>70</v>
      </c>
      <c r="Q73" s="34" t="n">
        <f aca="false">SUM(K73:P73)</f>
        <v>490</v>
      </c>
      <c r="R73" s="16"/>
      <c r="S73" s="40"/>
      <c r="T73" s="34"/>
      <c r="U73" s="30" t="n">
        <v>1</v>
      </c>
      <c r="V73" s="16"/>
      <c r="W73" s="16"/>
    </row>
    <row r="74" customFormat="false" ht="16.5" hidden="false" customHeight="true" outlineLevel="0" collapsed="false">
      <c r="A74" s="31" t="n">
        <f aca="false">A73+1</f>
        <v>73</v>
      </c>
      <c r="B74" s="30" t="s">
        <v>521</v>
      </c>
      <c r="C74" s="30" t="s">
        <v>293</v>
      </c>
      <c r="D74" s="30" t="s">
        <v>301</v>
      </c>
      <c r="E74" s="30"/>
      <c r="F74" s="30" t="s">
        <v>314</v>
      </c>
      <c r="G74" s="28" t="s">
        <v>286</v>
      </c>
      <c r="H74" s="30" t="s">
        <v>315</v>
      </c>
      <c r="I74" s="28" t="s">
        <v>286</v>
      </c>
      <c r="J74" s="30" t="s">
        <v>316</v>
      </c>
      <c r="K74" s="34" t="n">
        <v>40</v>
      </c>
      <c r="L74" s="34" t="n">
        <v>40</v>
      </c>
      <c r="M74" s="34" t="n">
        <v>35</v>
      </c>
      <c r="N74" s="34" t="n">
        <v>50</v>
      </c>
      <c r="O74" s="34" t="n">
        <v>100</v>
      </c>
      <c r="P74" s="34" t="n">
        <v>70</v>
      </c>
      <c r="Q74" s="34" t="n">
        <f aca="false">SUM(K74:P74)</f>
        <v>335</v>
      </c>
      <c r="R74" s="34" t="n">
        <v>30</v>
      </c>
      <c r="S74" s="39" t="s">
        <v>522</v>
      </c>
      <c r="T74" s="34"/>
      <c r="U74" s="30"/>
      <c r="V74" s="16"/>
      <c r="W74" s="16"/>
    </row>
    <row r="75" customFormat="false" ht="16.5" hidden="false" customHeight="true" outlineLevel="0" collapsed="false">
      <c r="A75" s="31" t="n">
        <f aca="false">A74+1</f>
        <v>74</v>
      </c>
      <c r="B75" s="30" t="s">
        <v>523</v>
      </c>
      <c r="C75" s="30" t="s">
        <v>293</v>
      </c>
      <c r="D75" s="30" t="s">
        <v>301</v>
      </c>
      <c r="E75" s="30" t="s">
        <v>524</v>
      </c>
      <c r="F75" s="30" t="s">
        <v>325</v>
      </c>
      <c r="G75" s="28" t="s">
        <v>286</v>
      </c>
      <c r="H75" s="30" t="s">
        <v>326</v>
      </c>
      <c r="I75" s="28" t="s">
        <v>286</v>
      </c>
      <c r="J75" s="30" t="s">
        <v>476</v>
      </c>
      <c r="K75" s="34" t="n">
        <v>80</v>
      </c>
      <c r="L75" s="34" t="n">
        <v>70</v>
      </c>
      <c r="M75" s="34" t="n">
        <v>65</v>
      </c>
      <c r="N75" s="34" t="n">
        <v>80</v>
      </c>
      <c r="O75" s="34" t="n">
        <v>120</v>
      </c>
      <c r="P75" s="34" t="n">
        <v>100</v>
      </c>
      <c r="Q75" s="34" t="n">
        <f aca="false">SUM(K75:P75)</f>
        <v>515</v>
      </c>
      <c r="R75" s="16"/>
      <c r="S75" s="39" t="s">
        <v>522</v>
      </c>
      <c r="T75" s="34"/>
      <c r="U75" s="30" t="n">
        <v>1</v>
      </c>
      <c r="V75" s="16"/>
      <c r="W75" s="16"/>
    </row>
    <row r="76" customFormat="false" ht="27.75" hidden="false" customHeight="true" outlineLevel="0" collapsed="false">
      <c r="A76" s="31" t="n">
        <f aca="false">A75+1</f>
        <v>75</v>
      </c>
      <c r="B76" s="30" t="s">
        <v>525</v>
      </c>
      <c r="C76" s="30" t="s">
        <v>306</v>
      </c>
      <c r="D76" s="30" t="s">
        <v>283</v>
      </c>
      <c r="E76" s="30"/>
      <c r="F76" s="30" t="s">
        <v>526</v>
      </c>
      <c r="G76" s="28" t="s">
        <v>286</v>
      </c>
      <c r="H76" s="30" t="s">
        <v>527</v>
      </c>
      <c r="I76" s="28" t="s">
        <v>286</v>
      </c>
      <c r="J76" s="30" t="s">
        <v>528</v>
      </c>
      <c r="K76" s="34" t="n">
        <v>40</v>
      </c>
      <c r="L76" s="34" t="n">
        <v>80</v>
      </c>
      <c r="M76" s="34" t="n">
        <v>100</v>
      </c>
      <c r="N76" s="34" t="n">
        <v>30</v>
      </c>
      <c r="O76" s="34" t="n">
        <v>30</v>
      </c>
      <c r="P76" s="34" t="n">
        <v>20</v>
      </c>
      <c r="Q76" s="34" t="n">
        <f aca="false">SUM(K76:P76)</f>
        <v>300</v>
      </c>
      <c r="R76" s="34" t="n">
        <v>25</v>
      </c>
      <c r="S76" s="39" t="s">
        <v>529</v>
      </c>
      <c r="T76" s="34"/>
      <c r="U76" s="30"/>
      <c r="V76" s="16"/>
      <c r="W76" s="16"/>
    </row>
    <row r="77" customFormat="false" ht="16.5" hidden="false" customHeight="true" outlineLevel="0" collapsed="false">
      <c r="A77" s="31" t="n">
        <f aca="false">A76+1</f>
        <v>76</v>
      </c>
      <c r="B77" s="30" t="s">
        <v>530</v>
      </c>
      <c r="C77" s="30" t="s">
        <v>306</v>
      </c>
      <c r="D77" s="30" t="s">
        <v>283</v>
      </c>
      <c r="E77" s="30"/>
      <c r="F77" s="30" t="s">
        <v>528</v>
      </c>
      <c r="G77" s="28" t="s">
        <v>286</v>
      </c>
      <c r="H77" s="30" t="s">
        <v>531</v>
      </c>
      <c r="I77" s="28" t="s">
        <v>286</v>
      </c>
      <c r="J77" s="30" t="s">
        <v>532</v>
      </c>
      <c r="K77" s="34" t="n">
        <v>55</v>
      </c>
      <c r="L77" s="34" t="n">
        <v>95</v>
      </c>
      <c r="M77" s="34" t="n">
        <v>115</v>
      </c>
      <c r="N77" s="34" t="n">
        <v>45</v>
      </c>
      <c r="O77" s="34" t="n">
        <v>45</v>
      </c>
      <c r="P77" s="34" t="n">
        <v>35</v>
      </c>
      <c r="Q77" s="34" t="n">
        <f aca="false">SUM(K77:P77)</f>
        <v>390</v>
      </c>
      <c r="R77" s="16" t="s">
        <v>506</v>
      </c>
      <c r="S77" s="39" t="s">
        <v>533</v>
      </c>
      <c r="T77" s="34"/>
      <c r="U77" s="30"/>
      <c r="V77" s="16"/>
      <c r="W77" s="16"/>
    </row>
    <row r="78" customFormat="false" ht="16.5" hidden="false" customHeight="true" outlineLevel="0" collapsed="false">
      <c r="A78" s="31" t="n">
        <f aca="false">A77+1</f>
        <v>77</v>
      </c>
      <c r="B78" s="30" t="s">
        <v>534</v>
      </c>
      <c r="C78" s="30" t="s">
        <v>306</v>
      </c>
      <c r="D78" s="30" t="s">
        <v>283</v>
      </c>
      <c r="E78" s="30" t="s">
        <v>535</v>
      </c>
      <c r="F78" s="30" t="s">
        <v>532</v>
      </c>
      <c r="G78" s="30" t="s">
        <v>286</v>
      </c>
      <c r="H78" s="30" t="s">
        <v>531</v>
      </c>
      <c r="I78" s="28" t="s">
        <v>536</v>
      </c>
      <c r="J78" s="30" t="s">
        <v>537</v>
      </c>
      <c r="K78" s="34" t="n">
        <v>80</v>
      </c>
      <c r="L78" s="34" t="n">
        <v>120</v>
      </c>
      <c r="M78" s="34" t="n">
        <v>130</v>
      </c>
      <c r="N78" s="34" t="n">
        <v>55</v>
      </c>
      <c r="O78" s="34" t="n">
        <v>65</v>
      </c>
      <c r="P78" s="34" t="n">
        <v>45</v>
      </c>
      <c r="Q78" s="34" t="n">
        <f aca="false">SUM(K78:P78)</f>
        <v>495</v>
      </c>
      <c r="R78" s="40"/>
      <c r="S78" s="40"/>
      <c r="T78" s="34"/>
      <c r="U78" s="30" t="n">
        <v>1</v>
      </c>
      <c r="V78" s="16"/>
      <c r="W78" s="16"/>
    </row>
    <row r="79" customFormat="false" ht="16.5" hidden="false" customHeight="true" outlineLevel="0" collapsed="false">
      <c r="A79" s="31" t="n">
        <f aca="false">A78+1</f>
        <v>78</v>
      </c>
      <c r="B79" s="30" t="s">
        <v>538</v>
      </c>
      <c r="C79" s="30" t="s">
        <v>284</v>
      </c>
      <c r="D79" s="30" t="s">
        <v>293</v>
      </c>
      <c r="E79" s="30"/>
      <c r="F79" s="30" t="s">
        <v>303</v>
      </c>
      <c r="G79" s="28" t="s">
        <v>286</v>
      </c>
      <c r="H79" s="30" t="s">
        <v>304</v>
      </c>
      <c r="I79" s="28" t="s">
        <v>286</v>
      </c>
      <c r="J79" s="30" t="s">
        <v>305</v>
      </c>
      <c r="K79" s="34" t="n">
        <v>50</v>
      </c>
      <c r="L79" s="34" t="n">
        <v>85</v>
      </c>
      <c r="M79" s="34" t="n">
        <v>55</v>
      </c>
      <c r="N79" s="34" t="n">
        <v>65</v>
      </c>
      <c r="O79" s="34" t="n">
        <v>65</v>
      </c>
      <c r="P79" s="34" t="n">
        <v>90</v>
      </c>
      <c r="Q79" s="34" t="n">
        <f aca="false">SUM(K79:P79)</f>
        <v>410</v>
      </c>
      <c r="R79" s="34" t="n">
        <v>40</v>
      </c>
      <c r="S79" s="39" t="s">
        <v>513</v>
      </c>
      <c r="T79" s="34"/>
      <c r="U79" s="30"/>
      <c r="V79" s="16"/>
      <c r="W79" s="16"/>
    </row>
    <row r="80" customFormat="false" ht="16.5" hidden="false" customHeight="true" outlineLevel="0" collapsed="false">
      <c r="A80" s="31" t="n">
        <f aca="false">A79+1</f>
        <v>79</v>
      </c>
      <c r="B80" s="30" t="s">
        <v>539</v>
      </c>
      <c r="C80" s="30" t="s">
        <v>284</v>
      </c>
      <c r="D80" s="30" t="s">
        <v>293</v>
      </c>
      <c r="E80" s="41" t="s">
        <v>540</v>
      </c>
      <c r="F80" s="30" t="s">
        <v>309</v>
      </c>
      <c r="G80" s="28" t="s">
        <v>286</v>
      </c>
      <c r="H80" s="30" t="s">
        <v>310</v>
      </c>
      <c r="I80" s="28" t="s">
        <v>489</v>
      </c>
      <c r="J80" s="30" t="s">
        <v>436</v>
      </c>
      <c r="K80" s="34" t="n">
        <v>65</v>
      </c>
      <c r="L80" s="34" t="n">
        <v>100</v>
      </c>
      <c r="M80" s="34" t="n">
        <v>70</v>
      </c>
      <c r="N80" s="34" t="n">
        <v>80</v>
      </c>
      <c r="O80" s="34" t="n">
        <v>80</v>
      </c>
      <c r="P80" s="34" t="n">
        <v>105</v>
      </c>
      <c r="Q80" s="34" t="n">
        <f aca="false">SUM(K80:P80)</f>
        <v>500</v>
      </c>
      <c r="R80" s="16"/>
      <c r="S80" s="39" t="s">
        <v>513</v>
      </c>
      <c r="T80" s="34"/>
      <c r="U80" s="30" t="n">
        <v>1</v>
      </c>
      <c r="V80" s="16"/>
      <c r="W80" s="16"/>
    </row>
    <row r="81" customFormat="false" ht="48.75" hidden="false" customHeight="true" outlineLevel="0" collapsed="false">
      <c r="A81" s="31" t="n">
        <f aca="false">A80+1</f>
        <v>80</v>
      </c>
      <c r="B81" s="30" t="s">
        <v>541</v>
      </c>
      <c r="C81" s="30" t="s">
        <v>293</v>
      </c>
      <c r="D81" s="30" t="s">
        <v>301</v>
      </c>
      <c r="E81" s="30"/>
      <c r="F81" s="30" t="s">
        <v>314</v>
      </c>
      <c r="G81" s="28" t="s">
        <v>286</v>
      </c>
      <c r="H81" s="30" t="s">
        <v>315</v>
      </c>
      <c r="I81" s="28" t="s">
        <v>286</v>
      </c>
      <c r="J81" s="30" t="s">
        <v>316</v>
      </c>
      <c r="K81" s="34" t="n">
        <v>90</v>
      </c>
      <c r="L81" s="34" t="n">
        <v>65</v>
      </c>
      <c r="M81" s="34" t="n">
        <v>65</v>
      </c>
      <c r="N81" s="34" t="n">
        <v>40</v>
      </c>
      <c r="O81" s="34" t="n">
        <v>40</v>
      </c>
      <c r="P81" s="34" t="n">
        <v>15</v>
      </c>
      <c r="Q81" s="34" t="n">
        <f aca="false">SUM(K81:P81)</f>
        <v>315</v>
      </c>
      <c r="R81" s="43" t="s">
        <v>542</v>
      </c>
      <c r="S81" s="39" t="s">
        <v>543</v>
      </c>
      <c r="T81" s="34"/>
      <c r="U81" s="30"/>
      <c r="V81" s="16"/>
      <c r="W81" s="16"/>
    </row>
    <row r="82" customFormat="false" ht="16.5" hidden="false" customHeight="true" outlineLevel="0" collapsed="false">
      <c r="A82" s="31" t="n">
        <f aca="false">A81+1</f>
        <v>81</v>
      </c>
      <c r="B82" s="30" t="s">
        <v>544</v>
      </c>
      <c r="C82" s="30" t="s">
        <v>293</v>
      </c>
      <c r="D82" s="30" t="s">
        <v>301</v>
      </c>
      <c r="E82" s="30"/>
      <c r="F82" s="30" t="s">
        <v>325</v>
      </c>
      <c r="G82" s="28" t="s">
        <v>412</v>
      </c>
      <c r="H82" s="30" t="s">
        <v>326</v>
      </c>
      <c r="I82" s="28" t="s">
        <v>475</v>
      </c>
      <c r="J82" s="30" t="s">
        <v>476</v>
      </c>
      <c r="K82" s="34" t="n">
        <v>95</v>
      </c>
      <c r="L82" s="34" t="n">
        <v>75</v>
      </c>
      <c r="M82" s="34" t="n">
        <v>110</v>
      </c>
      <c r="N82" s="34" t="n">
        <v>100</v>
      </c>
      <c r="O82" s="34" t="n">
        <v>80</v>
      </c>
      <c r="P82" s="34" t="n">
        <v>30</v>
      </c>
      <c r="Q82" s="34" t="n">
        <f aca="false">SUM(K82:P82)</f>
        <v>490</v>
      </c>
      <c r="R82" s="40"/>
      <c r="S82" s="39" t="s">
        <v>381</v>
      </c>
      <c r="T82" s="34"/>
      <c r="U82" s="30" t="n">
        <v>1</v>
      </c>
      <c r="V82" s="16"/>
      <c r="W82" s="16"/>
    </row>
    <row r="83" customFormat="false" ht="16.5" hidden="false" customHeight="true" outlineLevel="0" collapsed="false">
      <c r="A83" s="31" t="n">
        <f aca="false">A82+1</f>
        <v>82</v>
      </c>
      <c r="B83" s="30" t="s">
        <v>545</v>
      </c>
      <c r="C83" s="30" t="s">
        <v>312</v>
      </c>
      <c r="D83" s="30" t="s">
        <v>317</v>
      </c>
      <c r="E83" s="30" t="s">
        <v>546</v>
      </c>
      <c r="F83" s="30" t="s">
        <v>508</v>
      </c>
      <c r="G83" s="28" t="s">
        <v>365</v>
      </c>
      <c r="H83" s="30" t="s">
        <v>504</v>
      </c>
      <c r="I83" s="28" t="s">
        <v>286</v>
      </c>
      <c r="J83" s="30" t="s">
        <v>509</v>
      </c>
      <c r="K83" s="34" t="n">
        <v>95</v>
      </c>
      <c r="L83" s="34" t="n">
        <v>75</v>
      </c>
      <c r="M83" s="34" t="n">
        <v>80</v>
      </c>
      <c r="N83" s="34" t="n">
        <v>100</v>
      </c>
      <c r="O83" s="34" t="n">
        <v>110</v>
      </c>
      <c r="P83" s="34" t="n">
        <v>30</v>
      </c>
      <c r="Q83" s="34" t="n">
        <f aca="false">SUM(K83:P83)</f>
        <v>490</v>
      </c>
      <c r="R83" s="16"/>
      <c r="S83" s="40"/>
      <c r="T83" s="34"/>
      <c r="U83" s="30" t="n">
        <v>1</v>
      </c>
      <c r="V83" s="16"/>
      <c r="W83" s="16"/>
    </row>
    <row r="84" customFormat="false" ht="16.5" hidden="false" customHeight="true" outlineLevel="0" collapsed="false">
      <c r="A84" s="31" t="n">
        <f aca="false">A83+1</f>
        <v>83</v>
      </c>
      <c r="B84" s="30" t="s">
        <v>547</v>
      </c>
      <c r="C84" s="30" t="s">
        <v>301</v>
      </c>
      <c r="D84" s="30" t="s">
        <v>306</v>
      </c>
      <c r="E84" s="30"/>
      <c r="F84" s="30" t="s">
        <v>394</v>
      </c>
      <c r="G84" s="28" t="s">
        <v>286</v>
      </c>
      <c r="H84" s="30" t="s">
        <v>548</v>
      </c>
      <c r="I84" s="28" t="s">
        <v>286</v>
      </c>
      <c r="J84" s="30" t="s">
        <v>549</v>
      </c>
      <c r="K84" s="34" t="n">
        <v>25</v>
      </c>
      <c r="L84" s="34" t="n">
        <v>35</v>
      </c>
      <c r="M84" s="34" t="n">
        <v>70</v>
      </c>
      <c r="N84" s="34" t="n">
        <v>95</v>
      </c>
      <c r="O84" s="34" t="n">
        <v>55</v>
      </c>
      <c r="P84" s="34" t="n">
        <v>45</v>
      </c>
      <c r="Q84" s="34" t="n">
        <f aca="false">SUM(K84:P84)</f>
        <v>325</v>
      </c>
      <c r="R84" s="34" t="n">
        <v>30</v>
      </c>
      <c r="S84" s="39" t="s">
        <v>550</v>
      </c>
      <c r="T84" s="34"/>
      <c r="U84" s="30"/>
      <c r="V84" s="16"/>
      <c r="W84" s="16"/>
    </row>
    <row r="85" customFormat="false" ht="16.5" hidden="false" customHeight="true" outlineLevel="0" collapsed="false">
      <c r="A85" s="31" t="n">
        <f aca="false">A84+1</f>
        <v>84</v>
      </c>
      <c r="B85" s="30" t="s">
        <v>551</v>
      </c>
      <c r="C85" s="30" t="s">
        <v>301</v>
      </c>
      <c r="D85" s="30" t="s">
        <v>306</v>
      </c>
      <c r="E85" s="30"/>
      <c r="F85" s="30" t="s">
        <v>552</v>
      </c>
      <c r="G85" s="28" t="s">
        <v>286</v>
      </c>
      <c r="H85" s="28" t="s">
        <v>401</v>
      </c>
      <c r="I85" s="28" t="s">
        <v>395</v>
      </c>
      <c r="J85" s="30" t="s">
        <v>553</v>
      </c>
      <c r="K85" s="34" t="n">
        <v>50</v>
      </c>
      <c r="L85" s="34" t="n">
        <v>60</v>
      </c>
      <c r="M85" s="34" t="n">
        <v>95</v>
      </c>
      <c r="N85" s="34" t="n">
        <v>120</v>
      </c>
      <c r="O85" s="34" t="n">
        <v>70</v>
      </c>
      <c r="P85" s="34" t="n">
        <v>70</v>
      </c>
      <c r="Q85" s="34" t="n">
        <f aca="false">SUM(K85:P85)</f>
        <v>465</v>
      </c>
      <c r="R85" s="39" t="s">
        <v>120</v>
      </c>
      <c r="S85" s="39" t="s">
        <v>550</v>
      </c>
      <c r="T85" s="34"/>
      <c r="U85" s="30"/>
      <c r="V85" s="16"/>
      <c r="W85" s="16"/>
    </row>
    <row r="86" customFormat="false" ht="34.5" hidden="false" customHeight="true" outlineLevel="0" collapsed="false">
      <c r="A86" s="31" t="n">
        <f aca="false">A85+1</f>
        <v>85</v>
      </c>
      <c r="B86" s="30" t="s">
        <v>554</v>
      </c>
      <c r="C86" s="30" t="s">
        <v>328</v>
      </c>
      <c r="D86" s="30" t="s">
        <v>284</v>
      </c>
      <c r="E86" s="30" t="s">
        <v>555</v>
      </c>
      <c r="F86" s="30" t="s">
        <v>556</v>
      </c>
      <c r="G86" s="28" t="s">
        <v>286</v>
      </c>
      <c r="H86" s="30" t="s">
        <v>557</v>
      </c>
      <c r="I86" s="28" t="s">
        <v>286</v>
      </c>
      <c r="J86" s="30" t="s">
        <v>558</v>
      </c>
      <c r="K86" s="34" t="n">
        <v>70</v>
      </c>
      <c r="L86" s="34" t="n">
        <v>70</v>
      </c>
      <c r="M86" s="34" t="n">
        <v>115</v>
      </c>
      <c r="N86" s="34" t="n">
        <v>130</v>
      </c>
      <c r="O86" s="34" t="n">
        <v>90</v>
      </c>
      <c r="P86" s="34" t="n">
        <v>60</v>
      </c>
      <c r="Q86" s="34" t="n">
        <f aca="false">SUM(K86:P86)</f>
        <v>535</v>
      </c>
      <c r="R86" s="16"/>
      <c r="S86" s="40"/>
      <c r="T86" s="34"/>
      <c r="U86" s="30" t="n">
        <v>1</v>
      </c>
      <c r="V86" s="16"/>
      <c r="W86" s="16"/>
    </row>
    <row r="87" customFormat="false" ht="32.25" hidden="false" customHeight="true" outlineLevel="0" collapsed="false">
      <c r="A87" s="31" t="n">
        <f aca="false">A86+1</f>
        <v>86</v>
      </c>
      <c r="B87" s="30" t="s">
        <v>559</v>
      </c>
      <c r="C87" s="30" t="s">
        <v>337</v>
      </c>
      <c r="D87" s="30" t="s">
        <v>301</v>
      </c>
      <c r="E87" s="30"/>
      <c r="F87" s="30" t="s">
        <v>356</v>
      </c>
      <c r="G87" s="28" t="s">
        <v>286</v>
      </c>
      <c r="H87" s="30" t="s">
        <v>357</v>
      </c>
      <c r="I87" s="28" t="s">
        <v>286</v>
      </c>
      <c r="J87" s="30" t="s">
        <v>358</v>
      </c>
      <c r="K87" s="34" t="n">
        <v>35</v>
      </c>
      <c r="L87" s="34" t="n">
        <v>85</v>
      </c>
      <c r="M87" s="34" t="n">
        <v>45</v>
      </c>
      <c r="N87" s="34" t="n">
        <v>35</v>
      </c>
      <c r="O87" s="34" t="n">
        <v>35</v>
      </c>
      <c r="P87" s="34" t="n">
        <v>75</v>
      </c>
      <c r="Q87" s="34" t="n">
        <f aca="false">SUM(K87:P87)</f>
        <v>310</v>
      </c>
      <c r="R87" s="34" t="n">
        <v>31</v>
      </c>
      <c r="S87" s="40" t="s">
        <v>560</v>
      </c>
      <c r="T87" s="34"/>
      <c r="U87" s="30"/>
      <c r="V87" s="16"/>
      <c r="W87" s="16"/>
    </row>
    <row r="88" customFormat="false" ht="16.5" hidden="false" customHeight="true" outlineLevel="0" collapsed="false">
      <c r="A88" s="31" t="n">
        <f aca="false">A87+1</f>
        <v>87</v>
      </c>
      <c r="B88" s="30" t="s">
        <v>561</v>
      </c>
      <c r="C88" s="30" t="s">
        <v>337</v>
      </c>
      <c r="D88" s="30" t="s">
        <v>301</v>
      </c>
      <c r="E88" s="30" t="s">
        <v>562</v>
      </c>
      <c r="F88" s="30" t="s">
        <v>363</v>
      </c>
      <c r="G88" s="30" t="s">
        <v>286</v>
      </c>
      <c r="H88" s="30" t="s">
        <v>364</v>
      </c>
      <c r="I88" s="28" t="s">
        <v>365</v>
      </c>
      <c r="J88" s="30" t="s">
        <v>366</v>
      </c>
      <c r="K88" s="34" t="n">
        <v>60</v>
      </c>
      <c r="L88" s="34" t="n">
        <v>110</v>
      </c>
      <c r="M88" s="34" t="n">
        <v>70</v>
      </c>
      <c r="N88" s="34" t="n">
        <v>60</v>
      </c>
      <c r="O88" s="34" t="n">
        <v>60</v>
      </c>
      <c r="P88" s="34" t="n">
        <v>110</v>
      </c>
      <c r="Q88" s="34" t="n">
        <f aca="false">SUM(K88:P88)</f>
        <v>470</v>
      </c>
      <c r="R88" s="16"/>
      <c r="S88" s="40" t="s">
        <v>563</v>
      </c>
      <c r="T88" s="34"/>
      <c r="U88" s="30" t="n">
        <v>1</v>
      </c>
      <c r="V88" s="16"/>
      <c r="W88" s="16"/>
    </row>
    <row r="89" customFormat="false" ht="16.5" hidden="false" customHeight="true" outlineLevel="0" collapsed="false">
      <c r="A89" s="31" t="n">
        <f aca="false">A88+1</f>
        <v>88</v>
      </c>
      <c r="B89" s="30" t="s">
        <v>564</v>
      </c>
      <c r="C89" s="30" t="s">
        <v>293</v>
      </c>
      <c r="D89" s="30" t="s">
        <v>301</v>
      </c>
      <c r="E89" s="30"/>
      <c r="F89" s="30" t="s">
        <v>565</v>
      </c>
      <c r="G89" s="28" t="s">
        <v>286</v>
      </c>
      <c r="H89" s="30" t="s">
        <v>566</v>
      </c>
      <c r="I89" s="28" t="s">
        <v>286</v>
      </c>
      <c r="J89" s="30" t="s">
        <v>567</v>
      </c>
      <c r="K89" s="34" t="n">
        <v>65</v>
      </c>
      <c r="L89" s="34" t="n">
        <v>45</v>
      </c>
      <c r="M89" s="34" t="n">
        <v>55</v>
      </c>
      <c r="N89" s="34" t="n">
        <v>45</v>
      </c>
      <c r="O89" s="34" t="n">
        <v>70</v>
      </c>
      <c r="P89" s="34" t="n">
        <v>45</v>
      </c>
      <c r="Q89" s="34" t="n">
        <f aca="false">SUM(K89:P89)</f>
        <v>325</v>
      </c>
      <c r="R89" s="34" t="n">
        <v>34</v>
      </c>
      <c r="S89" s="39" t="s">
        <v>568</v>
      </c>
      <c r="T89" s="34"/>
      <c r="U89" s="30"/>
      <c r="V89" s="16"/>
      <c r="W89" s="16"/>
    </row>
    <row r="90" customFormat="false" ht="16.5" hidden="false" customHeight="true" outlineLevel="0" collapsed="false">
      <c r="A90" s="31" t="n">
        <f aca="false">A89+1</f>
        <v>89</v>
      </c>
      <c r="B90" s="30" t="s">
        <v>569</v>
      </c>
      <c r="C90" s="30" t="s">
        <v>293</v>
      </c>
      <c r="D90" s="30" t="s">
        <v>301</v>
      </c>
      <c r="E90" s="30" t="s">
        <v>570</v>
      </c>
      <c r="F90" s="30" t="s">
        <v>571</v>
      </c>
      <c r="G90" s="28" t="s">
        <v>286</v>
      </c>
      <c r="H90" s="30" t="s">
        <v>572</v>
      </c>
      <c r="I90" s="28" t="s">
        <v>440</v>
      </c>
      <c r="J90" s="30" t="s">
        <v>573</v>
      </c>
      <c r="K90" s="34" t="n">
        <v>90</v>
      </c>
      <c r="L90" s="34" t="n">
        <v>70</v>
      </c>
      <c r="M90" s="34" t="n">
        <v>80</v>
      </c>
      <c r="N90" s="34" t="n">
        <v>70</v>
      </c>
      <c r="O90" s="34" t="n">
        <v>95</v>
      </c>
      <c r="P90" s="34" t="n">
        <v>70</v>
      </c>
      <c r="Q90" s="34" t="n">
        <f aca="false">SUM(K90:P90)</f>
        <v>475</v>
      </c>
      <c r="R90" s="16"/>
      <c r="S90" s="39" t="s">
        <v>568</v>
      </c>
      <c r="T90" s="34"/>
      <c r="U90" s="30" t="n">
        <v>1</v>
      </c>
      <c r="V90" s="16"/>
      <c r="W90" s="16"/>
    </row>
    <row r="91" customFormat="false" ht="27.75" hidden="false" customHeight="true" outlineLevel="0" collapsed="false">
      <c r="A91" s="31" t="n">
        <f aca="false">A90+1</f>
        <v>90</v>
      </c>
      <c r="B91" s="30" t="s">
        <v>574</v>
      </c>
      <c r="C91" s="30" t="s">
        <v>317</v>
      </c>
      <c r="D91" s="30" t="s">
        <v>312</v>
      </c>
      <c r="E91" s="30"/>
      <c r="F91" s="30" t="s">
        <v>383</v>
      </c>
      <c r="G91" s="28" t="s">
        <v>286</v>
      </c>
      <c r="H91" s="30" t="s">
        <v>384</v>
      </c>
      <c r="I91" s="28" t="s">
        <v>286</v>
      </c>
      <c r="J91" s="30" t="s">
        <v>385</v>
      </c>
      <c r="K91" s="34" t="n">
        <v>80</v>
      </c>
      <c r="L91" s="34" t="n">
        <v>80</v>
      </c>
      <c r="M91" s="34" t="n">
        <v>50</v>
      </c>
      <c r="N91" s="34" t="n">
        <v>40</v>
      </c>
      <c r="O91" s="34" t="n">
        <v>50</v>
      </c>
      <c r="P91" s="34" t="n">
        <v>25</v>
      </c>
      <c r="Q91" s="34" t="n">
        <f aca="false">SUM(K91:P91)</f>
        <v>325</v>
      </c>
      <c r="R91" s="34" t="n">
        <v>38</v>
      </c>
      <c r="S91" s="39" t="s">
        <v>575</v>
      </c>
      <c r="T91" s="34"/>
      <c r="U91" s="30"/>
      <c r="V91" s="16"/>
      <c r="W91" s="16"/>
    </row>
    <row r="92" customFormat="false" ht="16.5" hidden="false" customHeight="true" outlineLevel="0" collapsed="false">
      <c r="A92" s="31" t="n">
        <f aca="false">A91+1</f>
        <v>91</v>
      </c>
      <c r="B92" s="30" t="s">
        <v>576</v>
      </c>
      <c r="C92" s="30" t="s">
        <v>317</v>
      </c>
      <c r="D92" s="30" t="s">
        <v>312</v>
      </c>
      <c r="E92" s="30"/>
      <c r="F92" s="30" t="s">
        <v>389</v>
      </c>
      <c r="G92" s="28" t="s">
        <v>352</v>
      </c>
      <c r="H92" s="30" t="s">
        <v>420</v>
      </c>
      <c r="I92" s="28" t="s">
        <v>352</v>
      </c>
      <c r="J92" s="30" t="s">
        <v>392</v>
      </c>
      <c r="K92" s="34" t="n">
        <v>105</v>
      </c>
      <c r="L92" s="34" t="n">
        <v>105</v>
      </c>
      <c r="M92" s="34" t="n">
        <v>75</v>
      </c>
      <c r="N92" s="34" t="n">
        <v>65</v>
      </c>
      <c r="O92" s="34" t="n">
        <v>100</v>
      </c>
      <c r="P92" s="34" t="n">
        <v>50</v>
      </c>
      <c r="Q92" s="34" t="n">
        <f aca="false">SUM(K92:P92)</f>
        <v>500</v>
      </c>
      <c r="R92" s="16"/>
      <c r="S92" s="39" t="s">
        <v>577</v>
      </c>
      <c r="T92" s="34"/>
      <c r="U92" s="30" t="n">
        <v>1</v>
      </c>
      <c r="V92" s="16"/>
      <c r="W92" s="16"/>
    </row>
    <row r="93" customFormat="false" ht="16.5" hidden="false" customHeight="true" outlineLevel="0" collapsed="false">
      <c r="A93" s="31" t="n">
        <f aca="false">A92+1</f>
        <v>92</v>
      </c>
      <c r="B93" s="30" t="s">
        <v>578</v>
      </c>
      <c r="C93" s="30" t="s">
        <v>293</v>
      </c>
      <c r="D93" s="30" t="s">
        <v>301</v>
      </c>
      <c r="E93" s="30"/>
      <c r="F93" s="30" t="s">
        <v>565</v>
      </c>
      <c r="G93" s="28" t="s">
        <v>286</v>
      </c>
      <c r="H93" s="30" t="s">
        <v>566</v>
      </c>
      <c r="I93" s="28" t="s">
        <v>286</v>
      </c>
      <c r="J93" s="30" t="s">
        <v>567</v>
      </c>
      <c r="K93" s="34" t="n">
        <v>30</v>
      </c>
      <c r="L93" s="34" t="n">
        <v>65</v>
      </c>
      <c r="M93" s="34" t="n">
        <v>100</v>
      </c>
      <c r="N93" s="34" t="n">
        <v>45</v>
      </c>
      <c r="O93" s="34" t="n">
        <v>25</v>
      </c>
      <c r="P93" s="34" t="n">
        <v>40</v>
      </c>
      <c r="Q93" s="34" t="n">
        <f aca="false">SUM(K93:P93)</f>
        <v>305</v>
      </c>
      <c r="R93" s="39" t="s">
        <v>114</v>
      </c>
      <c r="S93" s="39" t="s">
        <v>579</v>
      </c>
      <c r="T93" s="34"/>
      <c r="U93" s="30"/>
      <c r="V93" s="16"/>
      <c r="W93" s="16"/>
    </row>
    <row r="94" customFormat="false" ht="16.5" hidden="false" customHeight="true" outlineLevel="0" collapsed="false">
      <c r="A94" s="31" t="n">
        <f aca="false">A93+1</f>
        <v>93</v>
      </c>
      <c r="B94" s="30" t="s">
        <v>580</v>
      </c>
      <c r="C94" s="30" t="s">
        <v>293</v>
      </c>
      <c r="D94" s="30" t="s">
        <v>301</v>
      </c>
      <c r="E94" s="30"/>
      <c r="F94" s="30" t="s">
        <v>581</v>
      </c>
      <c r="G94" s="28" t="s">
        <v>286</v>
      </c>
      <c r="H94" s="30" t="s">
        <v>572</v>
      </c>
      <c r="I94" s="28" t="s">
        <v>286</v>
      </c>
      <c r="J94" s="30" t="s">
        <v>573</v>
      </c>
      <c r="K94" s="34" t="n">
        <v>50</v>
      </c>
      <c r="L94" s="34" t="n">
        <v>95</v>
      </c>
      <c r="M94" s="34" t="n">
        <v>180</v>
      </c>
      <c r="N94" s="34" t="n">
        <v>85</v>
      </c>
      <c r="O94" s="34" t="n">
        <v>45</v>
      </c>
      <c r="P94" s="34" t="n">
        <v>70</v>
      </c>
      <c r="Q94" s="34" t="n">
        <f aca="false">SUM(K94:P94)</f>
        <v>525</v>
      </c>
      <c r="R94" s="16"/>
      <c r="S94" s="40"/>
      <c r="T94" s="34"/>
      <c r="U94" s="30" t="n">
        <v>1</v>
      </c>
      <c r="V94" s="16"/>
      <c r="W94" s="16"/>
    </row>
    <row r="95" customFormat="false" ht="16.5" hidden="false" customHeight="true" outlineLevel="0" collapsed="false">
      <c r="A95" s="31" t="n">
        <f aca="false">A94+1</f>
        <v>94</v>
      </c>
      <c r="B95" s="30" t="s">
        <v>582</v>
      </c>
      <c r="C95" s="30" t="s">
        <v>312</v>
      </c>
      <c r="D95" s="30" t="s">
        <v>317</v>
      </c>
      <c r="E95" s="30"/>
      <c r="F95" s="30" t="s">
        <v>583</v>
      </c>
      <c r="G95" s="28" t="s">
        <v>286</v>
      </c>
      <c r="H95" s="30" t="s">
        <v>584</v>
      </c>
      <c r="I95" s="28" t="s">
        <v>286</v>
      </c>
      <c r="J95" s="30" t="s">
        <v>585</v>
      </c>
      <c r="K95" s="34" t="n">
        <v>30</v>
      </c>
      <c r="L95" s="34" t="n">
        <v>35</v>
      </c>
      <c r="M95" s="34" t="n">
        <v>30</v>
      </c>
      <c r="N95" s="34" t="n">
        <v>100</v>
      </c>
      <c r="O95" s="34" t="n">
        <v>35</v>
      </c>
      <c r="P95" s="34" t="n">
        <v>80</v>
      </c>
      <c r="Q95" s="34" t="n">
        <f aca="false">SUM(K95:P95)</f>
        <v>310</v>
      </c>
      <c r="R95" s="34" t="n">
        <v>25</v>
      </c>
      <c r="S95" s="39" t="s">
        <v>586</v>
      </c>
      <c r="T95" s="34"/>
      <c r="U95" s="30"/>
      <c r="V95" s="16"/>
      <c r="W95" s="16"/>
    </row>
    <row r="96" customFormat="false" ht="16.5" hidden="false" customHeight="true" outlineLevel="0" collapsed="false">
      <c r="A96" s="31" t="n">
        <f aca="false">A95+1</f>
        <v>95</v>
      </c>
      <c r="B96" s="30" t="s">
        <v>587</v>
      </c>
      <c r="C96" s="30" t="s">
        <v>312</v>
      </c>
      <c r="D96" s="30" t="s">
        <v>317</v>
      </c>
      <c r="E96" s="30"/>
      <c r="F96" s="30" t="s">
        <v>588</v>
      </c>
      <c r="G96" s="30" t="s">
        <v>286</v>
      </c>
      <c r="H96" s="30" t="s">
        <v>589</v>
      </c>
      <c r="I96" s="28" t="s">
        <v>286</v>
      </c>
      <c r="J96" s="30" t="s">
        <v>585</v>
      </c>
      <c r="K96" s="34" t="n">
        <v>45</v>
      </c>
      <c r="L96" s="34" t="n">
        <v>50</v>
      </c>
      <c r="M96" s="34" t="n">
        <v>45</v>
      </c>
      <c r="N96" s="34" t="n">
        <v>115</v>
      </c>
      <c r="O96" s="34" t="n">
        <v>55</v>
      </c>
      <c r="P96" s="34" t="n">
        <v>95</v>
      </c>
      <c r="Q96" s="34" t="n">
        <f aca="false">SUM(K96:P96)</f>
        <v>405</v>
      </c>
      <c r="R96" s="16" t="s">
        <v>506</v>
      </c>
      <c r="S96" s="39" t="s">
        <v>586</v>
      </c>
      <c r="T96" s="34"/>
      <c r="U96" s="30"/>
      <c r="V96" s="16"/>
      <c r="W96" s="16"/>
    </row>
    <row r="97" customFormat="false" ht="16.5" hidden="false" customHeight="true" outlineLevel="0" collapsed="false">
      <c r="A97" s="31" t="n">
        <f aca="false">A96+1</f>
        <v>96</v>
      </c>
      <c r="B97" s="30" t="s">
        <v>590</v>
      </c>
      <c r="C97" s="30" t="s">
        <v>312</v>
      </c>
      <c r="D97" s="30" t="s">
        <v>317</v>
      </c>
      <c r="E97" s="41" t="s">
        <v>591</v>
      </c>
      <c r="F97" s="30" t="str">
        <f aca="false">F96</f>
        <v>シャドークロー</v>
      </c>
      <c r="G97" s="30" t="str">
        <f aca="false">G98</f>
        <v>急所に当たりやすい（15%）</v>
      </c>
      <c r="H97" s="30" t="s">
        <v>585</v>
      </c>
      <c r="I97" s="28" t="s">
        <v>286</v>
      </c>
      <c r="J97" s="30" t="s">
        <v>592</v>
      </c>
      <c r="K97" s="34" t="n">
        <v>60</v>
      </c>
      <c r="L97" s="34" t="n">
        <v>65</v>
      </c>
      <c r="M97" s="34" t="n">
        <v>60</v>
      </c>
      <c r="N97" s="34" t="n">
        <v>130</v>
      </c>
      <c r="O97" s="34" t="n">
        <v>75</v>
      </c>
      <c r="P97" s="34" t="n">
        <v>110</v>
      </c>
      <c r="Q97" s="34" t="n">
        <f aca="false">SUM(K97:P97)</f>
        <v>500</v>
      </c>
      <c r="R97" s="40"/>
      <c r="S97" s="40"/>
      <c r="T97" s="34"/>
      <c r="U97" s="30" t="n">
        <v>1</v>
      </c>
      <c r="V97" s="16"/>
      <c r="W97" s="16"/>
    </row>
    <row r="98" customFormat="false" ht="27.75" hidden="false" customHeight="true" outlineLevel="0" collapsed="false">
      <c r="A98" s="31" t="n">
        <f aca="false">A97+1</f>
        <v>97</v>
      </c>
      <c r="B98" s="30" t="s">
        <v>593</v>
      </c>
      <c r="C98" s="30" t="s">
        <v>306</v>
      </c>
      <c r="D98" s="30" t="s">
        <v>283</v>
      </c>
      <c r="E98" s="30"/>
      <c r="F98" s="30" t="s">
        <v>528</v>
      </c>
      <c r="G98" s="30" t="s">
        <v>380</v>
      </c>
      <c r="H98" s="30" t="s">
        <v>531</v>
      </c>
      <c r="I98" s="28" t="s">
        <v>536</v>
      </c>
      <c r="J98" s="30" t="s">
        <v>532</v>
      </c>
      <c r="K98" s="34" t="n">
        <v>35</v>
      </c>
      <c r="L98" s="34" t="n">
        <v>45</v>
      </c>
      <c r="M98" s="34" t="n">
        <v>160</v>
      </c>
      <c r="N98" s="34" t="n">
        <v>30</v>
      </c>
      <c r="O98" s="34" t="n">
        <v>45</v>
      </c>
      <c r="P98" s="34" t="n">
        <v>70</v>
      </c>
      <c r="Q98" s="34" t="n">
        <f aca="false">SUM(K98:P98)</f>
        <v>385</v>
      </c>
      <c r="R98" s="39" t="s">
        <v>120</v>
      </c>
      <c r="S98" s="39" t="s">
        <v>594</v>
      </c>
      <c r="T98" s="34"/>
      <c r="U98" s="30" t="n">
        <v>1</v>
      </c>
      <c r="V98" s="16"/>
      <c r="W98" s="16"/>
    </row>
    <row r="99" customFormat="false" ht="16.5" hidden="false" customHeight="true" outlineLevel="0" collapsed="false">
      <c r="A99" s="31" t="n">
        <f aca="false">A98+1</f>
        <v>98</v>
      </c>
      <c r="B99" s="30" t="s">
        <v>595</v>
      </c>
      <c r="C99" s="30" t="s">
        <v>328</v>
      </c>
      <c r="D99" s="30" t="s">
        <v>284</v>
      </c>
      <c r="E99" s="30" t="s">
        <v>555</v>
      </c>
      <c r="F99" s="30" t="s">
        <v>556</v>
      </c>
      <c r="G99" s="28" t="s">
        <v>286</v>
      </c>
      <c r="H99" s="30" t="s">
        <v>557</v>
      </c>
      <c r="I99" s="28" t="s">
        <v>286</v>
      </c>
      <c r="J99" s="30" t="s">
        <v>596</v>
      </c>
      <c r="K99" s="34" t="n">
        <v>75</v>
      </c>
      <c r="L99" s="34" t="n">
        <v>85</v>
      </c>
      <c r="M99" s="34" t="n">
        <v>200</v>
      </c>
      <c r="N99" s="34" t="n">
        <v>55</v>
      </c>
      <c r="O99" s="34" t="n">
        <v>65</v>
      </c>
      <c r="P99" s="34" t="n">
        <v>30</v>
      </c>
      <c r="Q99" s="34" t="n">
        <f aca="false">SUM(K99:P99)</f>
        <v>510</v>
      </c>
      <c r="R99" s="16"/>
      <c r="S99" s="40"/>
      <c r="T99" s="34"/>
      <c r="U99" s="30" t="n">
        <v>1</v>
      </c>
      <c r="V99" s="16"/>
      <c r="W99" s="16"/>
    </row>
    <row r="100" customFormat="false" ht="16.5" hidden="false" customHeight="true" outlineLevel="0" collapsed="false">
      <c r="A100" s="31" t="n">
        <f aca="false">A99+1</f>
        <v>99</v>
      </c>
      <c r="B100" s="30" t="s">
        <v>597</v>
      </c>
      <c r="C100" s="30" t="s">
        <v>301</v>
      </c>
      <c r="D100" s="30" t="s">
        <v>306</v>
      </c>
      <c r="E100" s="30"/>
      <c r="F100" s="30" t="s">
        <v>394</v>
      </c>
      <c r="G100" s="28" t="s">
        <v>286</v>
      </c>
      <c r="H100" s="30" t="s">
        <v>548</v>
      </c>
      <c r="I100" s="28" t="s">
        <v>286</v>
      </c>
      <c r="J100" s="30" t="s">
        <v>549</v>
      </c>
      <c r="K100" s="34" t="n">
        <v>40</v>
      </c>
      <c r="L100" s="34" t="n">
        <v>30</v>
      </c>
      <c r="M100" s="34" t="n">
        <v>50</v>
      </c>
      <c r="N100" s="34" t="n">
        <v>55</v>
      </c>
      <c r="O100" s="34" t="n">
        <v>55</v>
      </c>
      <c r="P100" s="34" t="n">
        <v>100</v>
      </c>
      <c r="Q100" s="34" t="n">
        <f aca="false">SUM(K100:P100)</f>
        <v>330</v>
      </c>
      <c r="R100" s="34" t="n">
        <v>30</v>
      </c>
      <c r="S100" s="39" t="s">
        <v>550</v>
      </c>
      <c r="T100" s="34"/>
      <c r="U100" s="30"/>
      <c r="V100" s="16"/>
      <c r="W100" s="16"/>
    </row>
    <row r="101" customFormat="false" ht="16.5" hidden="false" customHeight="true" outlineLevel="0" collapsed="false">
      <c r="A101" s="31" t="n">
        <f aca="false">A100+1</f>
        <v>100</v>
      </c>
      <c r="B101" s="30" t="s">
        <v>598</v>
      </c>
      <c r="C101" s="30" t="s">
        <v>301</v>
      </c>
      <c r="D101" s="30" t="s">
        <v>306</v>
      </c>
      <c r="E101" s="30"/>
      <c r="F101" s="30" t="s">
        <v>400</v>
      </c>
      <c r="G101" s="28" t="s">
        <v>395</v>
      </c>
      <c r="H101" s="28" t="s">
        <v>401</v>
      </c>
      <c r="I101" s="28" t="s">
        <v>286</v>
      </c>
      <c r="J101" s="30" t="s">
        <v>402</v>
      </c>
      <c r="K101" s="34" t="n">
        <v>60</v>
      </c>
      <c r="L101" s="34" t="n">
        <v>50</v>
      </c>
      <c r="M101" s="34" t="n">
        <v>70</v>
      </c>
      <c r="N101" s="34" t="n">
        <v>80</v>
      </c>
      <c r="O101" s="34" t="n">
        <v>80</v>
      </c>
      <c r="P101" s="34" t="n">
        <v>150</v>
      </c>
      <c r="Q101" s="34" t="n">
        <f aca="false">SUM(K101:P101)</f>
        <v>490</v>
      </c>
      <c r="R101" s="16"/>
      <c r="S101" s="39" t="s">
        <v>550</v>
      </c>
      <c r="T101" s="34"/>
      <c r="U101" s="30" t="n">
        <v>1</v>
      </c>
      <c r="V101" s="16"/>
      <c r="W101" s="16"/>
    </row>
    <row r="102" customFormat="false" ht="16.5" hidden="false" customHeight="true" outlineLevel="0" collapsed="false">
      <c r="A102" s="31" t="n">
        <f aca="false">A101+1</f>
        <v>101</v>
      </c>
      <c r="B102" s="30" t="s">
        <v>599</v>
      </c>
      <c r="C102" s="30" t="s">
        <v>283</v>
      </c>
      <c r="D102" s="30" t="s">
        <v>284</v>
      </c>
      <c r="E102" s="30"/>
      <c r="F102" s="30" t="s">
        <v>290</v>
      </c>
      <c r="G102" s="28" t="s">
        <v>286</v>
      </c>
      <c r="H102" s="30" t="s">
        <v>447</v>
      </c>
      <c r="I102" s="28" t="s">
        <v>286</v>
      </c>
      <c r="J102" s="30" t="s">
        <v>287</v>
      </c>
      <c r="K102" s="34" t="n">
        <v>60</v>
      </c>
      <c r="L102" s="34" t="n">
        <v>40</v>
      </c>
      <c r="M102" s="34" t="n">
        <v>80</v>
      </c>
      <c r="N102" s="34" t="n">
        <v>60</v>
      </c>
      <c r="O102" s="34" t="n">
        <v>45</v>
      </c>
      <c r="P102" s="34" t="n">
        <v>40</v>
      </c>
      <c r="Q102" s="34" t="n">
        <f aca="false">SUM(K102:P102)</f>
        <v>325</v>
      </c>
      <c r="R102" s="39" t="s">
        <v>116</v>
      </c>
      <c r="S102" s="39" t="s">
        <v>418</v>
      </c>
      <c r="T102" s="34"/>
      <c r="U102" s="30"/>
      <c r="V102" s="16"/>
      <c r="W102" s="16"/>
    </row>
    <row r="103" customFormat="false" ht="16.5" hidden="false" customHeight="true" outlineLevel="0" collapsed="false">
      <c r="A103" s="31" t="n">
        <f aca="false">A102+1</f>
        <v>102</v>
      </c>
      <c r="B103" s="30" t="s">
        <v>600</v>
      </c>
      <c r="C103" s="30" t="s">
        <v>312</v>
      </c>
      <c r="D103" s="30" t="s">
        <v>317</v>
      </c>
      <c r="E103" s="30" t="s">
        <v>453</v>
      </c>
      <c r="F103" s="30" t="s">
        <v>508</v>
      </c>
      <c r="G103" s="28" t="s">
        <v>286</v>
      </c>
      <c r="H103" s="30" t="s">
        <v>504</v>
      </c>
      <c r="I103" s="28" t="s">
        <v>286</v>
      </c>
      <c r="J103" s="30" t="s">
        <v>509</v>
      </c>
      <c r="K103" s="34" t="n">
        <v>95</v>
      </c>
      <c r="L103" s="34" t="n">
        <v>95</v>
      </c>
      <c r="M103" s="34" t="n">
        <v>85</v>
      </c>
      <c r="N103" s="34" t="n">
        <v>125</v>
      </c>
      <c r="O103" s="34" t="n">
        <v>75</v>
      </c>
      <c r="P103" s="34" t="n">
        <v>55</v>
      </c>
      <c r="Q103" s="34" t="n">
        <f aca="false">SUM(K103:P103)</f>
        <v>530</v>
      </c>
      <c r="R103" s="16"/>
      <c r="S103" s="39" t="s">
        <v>418</v>
      </c>
      <c r="T103" s="34"/>
      <c r="U103" s="30" t="n">
        <v>1</v>
      </c>
      <c r="V103" s="16"/>
      <c r="W103" s="16"/>
    </row>
    <row r="104" customFormat="false" ht="27.75" hidden="false" customHeight="true" outlineLevel="0" collapsed="false">
      <c r="A104" s="31" t="n">
        <f aca="false">A103+1</f>
        <v>103</v>
      </c>
      <c r="B104" s="30" t="s">
        <v>601</v>
      </c>
      <c r="C104" s="30" t="s">
        <v>306</v>
      </c>
      <c r="D104" s="30" t="s">
        <v>283</v>
      </c>
      <c r="E104" s="30"/>
      <c r="F104" s="30" t="s">
        <v>602</v>
      </c>
      <c r="G104" s="28" t="s">
        <v>286</v>
      </c>
      <c r="H104" s="30" t="s">
        <v>406</v>
      </c>
      <c r="I104" s="28" t="s">
        <v>286</v>
      </c>
      <c r="J104" s="30" t="s">
        <v>407</v>
      </c>
      <c r="K104" s="34" t="n">
        <v>50</v>
      </c>
      <c r="L104" s="34" t="n">
        <v>50</v>
      </c>
      <c r="M104" s="34" t="n">
        <v>95</v>
      </c>
      <c r="N104" s="34" t="n">
        <v>40</v>
      </c>
      <c r="O104" s="34" t="n">
        <v>50</v>
      </c>
      <c r="P104" s="34" t="n">
        <v>35</v>
      </c>
      <c r="Q104" s="34" t="n">
        <f aca="false">SUM(K104:P104)</f>
        <v>320</v>
      </c>
      <c r="R104" s="34" t="n">
        <v>28</v>
      </c>
      <c r="S104" s="39" t="s">
        <v>603</v>
      </c>
      <c r="T104" s="34"/>
      <c r="U104" s="30"/>
      <c r="V104" s="16"/>
      <c r="W104" s="16"/>
    </row>
    <row r="105" customFormat="false" ht="16.5" hidden="false" customHeight="true" outlineLevel="0" collapsed="false">
      <c r="A105" s="31" t="n">
        <f aca="false">A104+1</f>
        <v>104</v>
      </c>
      <c r="B105" s="30" t="s">
        <v>604</v>
      </c>
      <c r="C105" s="30" t="s">
        <v>306</v>
      </c>
      <c r="D105" s="30" t="s">
        <v>283</v>
      </c>
      <c r="E105" s="30" t="s">
        <v>605</v>
      </c>
      <c r="F105" s="30" t="s">
        <v>602</v>
      </c>
      <c r="G105" s="28" t="s">
        <v>412</v>
      </c>
      <c r="H105" s="30" t="s">
        <v>413</v>
      </c>
      <c r="I105" s="28" t="s">
        <v>343</v>
      </c>
      <c r="J105" s="30" t="s">
        <v>414</v>
      </c>
      <c r="K105" s="34" t="n">
        <v>60</v>
      </c>
      <c r="L105" s="34" t="n">
        <v>80</v>
      </c>
      <c r="M105" s="34" t="n">
        <v>110</v>
      </c>
      <c r="N105" s="34" t="n">
        <v>50</v>
      </c>
      <c r="O105" s="34" t="n">
        <v>80</v>
      </c>
      <c r="P105" s="34" t="n">
        <v>45</v>
      </c>
      <c r="Q105" s="34" t="n">
        <f aca="false">SUM(K105:P105)</f>
        <v>425</v>
      </c>
      <c r="R105" s="16"/>
      <c r="S105" s="39" t="s">
        <v>586</v>
      </c>
      <c r="T105" s="34"/>
      <c r="U105" s="30" t="n">
        <v>1</v>
      </c>
      <c r="V105" s="16"/>
      <c r="W105" s="16"/>
    </row>
    <row r="106" customFormat="false" ht="16.5" hidden="false" customHeight="true" outlineLevel="0" collapsed="false">
      <c r="A106" s="31" t="n">
        <f aca="false">A105+1</f>
        <v>105</v>
      </c>
      <c r="B106" s="30" t="s">
        <v>606</v>
      </c>
      <c r="C106" s="30" t="s">
        <v>306</v>
      </c>
      <c r="D106" s="30" t="s">
        <v>312</v>
      </c>
      <c r="E106" s="30"/>
      <c r="F106" s="30" t="s">
        <v>607</v>
      </c>
      <c r="G106" s="44" t="s">
        <v>608</v>
      </c>
      <c r="H106" s="30" t="s">
        <v>484</v>
      </c>
      <c r="I106" s="28" t="s">
        <v>286</v>
      </c>
      <c r="J106" s="30" t="s">
        <v>609</v>
      </c>
      <c r="K106" s="34" t="n">
        <v>50</v>
      </c>
      <c r="L106" s="34" t="n">
        <v>120</v>
      </c>
      <c r="M106" s="34" t="n">
        <v>53</v>
      </c>
      <c r="N106" s="34" t="n">
        <v>35</v>
      </c>
      <c r="O106" s="34" t="n">
        <v>110</v>
      </c>
      <c r="P106" s="34" t="n">
        <v>87</v>
      </c>
      <c r="Q106" s="34" t="n">
        <f aca="false">SUM(K106:P106)</f>
        <v>455</v>
      </c>
      <c r="R106" s="40"/>
      <c r="S106" s="40"/>
      <c r="T106" s="34"/>
      <c r="U106" s="30" t="n">
        <v>1</v>
      </c>
      <c r="V106" s="16"/>
      <c r="W106" s="16"/>
    </row>
    <row r="107" customFormat="false" ht="16.5" hidden="false" customHeight="true" outlineLevel="0" collapsed="false">
      <c r="A107" s="31" t="n">
        <f aca="false">A106+1</f>
        <v>106</v>
      </c>
      <c r="B107" s="30" t="s">
        <v>610</v>
      </c>
      <c r="C107" s="30" t="s">
        <v>306</v>
      </c>
      <c r="D107" s="30" t="s">
        <v>312</v>
      </c>
      <c r="E107" s="30"/>
      <c r="F107" s="30" t="s">
        <v>611</v>
      </c>
      <c r="G107" s="44" t="s">
        <v>612</v>
      </c>
      <c r="H107" s="30" t="s">
        <v>484</v>
      </c>
      <c r="I107" s="28" t="s">
        <v>286</v>
      </c>
      <c r="J107" s="30" t="s">
        <v>613</v>
      </c>
      <c r="K107" s="34" t="n">
        <v>50</v>
      </c>
      <c r="L107" s="34" t="n">
        <v>105</v>
      </c>
      <c r="M107" s="34" t="n">
        <v>79</v>
      </c>
      <c r="N107" s="34" t="n">
        <v>35</v>
      </c>
      <c r="O107" s="34" t="n">
        <v>110</v>
      </c>
      <c r="P107" s="34" t="n">
        <v>76</v>
      </c>
      <c r="Q107" s="34" t="n">
        <f aca="false">SUM(K107:P107)</f>
        <v>455</v>
      </c>
      <c r="R107" s="40"/>
      <c r="S107" s="40"/>
      <c r="T107" s="34"/>
      <c r="U107" s="30" t="n">
        <v>1</v>
      </c>
      <c r="V107" s="16"/>
      <c r="W107" s="16"/>
    </row>
    <row r="108" customFormat="false" ht="16.5" hidden="false" customHeight="true" outlineLevel="0" collapsed="false">
      <c r="A108" s="31" t="n">
        <f aca="false">A107+1</f>
        <v>107</v>
      </c>
      <c r="B108" s="30" t="s">
        <v>614</v>
      </c>
      <c r="C108" s="30" t="s">
        <v>337</v>
      </c>
      <c r="D108" s="30" t="s">
        <v>306</v>
      </c>
      <c r="E108" s="30"/>
      <c r="F108" s="30" t="s">
        <v>372</v>
      </c>
      <c r="G108" s="28" t="s">
        <v>286</v>
      </c>
      <c r="H108" s="30" t="s">
        <v>374</v>
      </c>
      <c r="I108" s="28" t="s">
        <v>286</v>
      </c>
      <c r="J108" s="30" t="s">
        <v>375</v>
      </c>
      <c r="K108" s="34" t="n">
        <v>90</v>
      </c>
      <c r="L108" s="34" t="n">
        <v>55</v>
      </c>
      <c r="M108" s="34" t="n">
        <v>75</v>
      </c>
      <c r="N108" s="34" t="n">
        <v>60</v>
      </c>
      <c r="O108" s="34" t="n">
        <v>75</v>
      </c>
      <c r="P108" s="34" t="n">
        <v>30</v>
      </c>
      <c r="Q108" s="34" t="n">
        <f aca="false">SUM(K108:P108)</f>
        <v>385</v>
      </c>
      <c r="R108" s="45" t="s">
        <v>444</v>
      </c>
      <c r="S108" s="39" t="s">
        <v>418</v>
      </c>
      <c r="T108" s="34"/>
      <c r="U108" s="30"/>
      <c r="V108" s="16"/>
      <c r="W108" s="16"/>
    </row>
    <row r="109" customFormat="false" ht="16.5" hidden="false" customHeight="true" outlineLevel="0" collapsed="false">
      <c r="A109" s="31" t="n">
        <f aca="false">A108+1</f>
        <v>108</v>
      </c>
      <c r="B109" s="30" t="s">
        <v>615</v>
      </c>
      <c r="C109" s="30" t="s">
        <v>337</v>
      </c>
      <c r="D109" s="30" t="s">
        <v>306</v>
      </c>
      <c r="E109" s="30"/>
      <c r="F109" s="30" t="s">
        <v>616</v>
      </c>
      <c r="G109" s="30" t="s">
        <v>617</v>
      </c>
      <c r="H109" s="30" t="s">
        <v>374</v>
      </c>
      <c r="I109" s="30" t="s">
        <v>380</v>
      </c>
      <c r="J109" s="30" t="s">
        <v>618</v>
      </c>
      <c r="K109" s="34" t="n">
        <v>110</v>
      </c>
      <c r="L109" s="34" t="n">
        <v>85</v>
      </c>
      <c r="M109" s="34" t="n">
        <v>95</v>
      </c>
      <c r="N109" s="34" t="n">
        <v>60</v>
      </c>
      <c r="O109" s="34" t="n">
        <v>95</v>
      </c>
      <c r="P109" s="34" t="n">
        <v>50</v>
      </c>
      <c r="Q109" s="34" t="n">
        <f aca="false">SUM(K109:P109)</f>
        <v>495</v>
      </c>
      <c r="R109" s="16"/>
      <c r="S109" s="40"/>
      <c r="T109" s="34"/>
      <c r="U109" s="30" t="n">
        <v>1</v>
      </c>
      <c r="V109" s="16"/>
      <c r="W109" s="16"/>
    </row>
    <row r="110" customFormat="false" ht="16.5" hidden="false" customHeight="true" outlineLevel="0" collapsed="false">
      <c r="A110" s="31" t="n">
        <f aca="false">A109+1</f>
        <v>109</v>
      </c>
      <c r="B110" s="30" t="s">
        <v>619</v>
      </c>
      <c r="C110" s="30" t="s">
        <v>317</v>
      </c>
      <c r="D110" s="30" t="s">
        <v>312</v>
      </c>
      <c r="E110" s="30"/>
      <c r="F110" s="30" t="s">
        <v>383</v>
      </c>
      <c r="G110" s="28" t="s">
        <v>286</v>
      </c>
      <c r="H110" s="30" t="s">
        <v>384</v>
      </c>
      <c r="I110" s="28" t="s">
        <v>286</v>
      </c>
      <c r="J110" s="30" t="s">
        <v>385</v>
      </c>
      <c r="K110" s="34" t="n">
        <v>40</v>
      </c>
      <c r="L110" s="34" t="n">
        <v>65</v>
      </c>
      <c r="M110" s="34" t="n">
        <v>95</v>
      </c>
      <c r="N110" s="34" t="n">
        <v>60</v>
      </c>
      <c r="O110" s="34" t="n">
        <v>45</v>
      </c>
      <c r="P110" s="34" t="n">
        <v>35</v>
      </c>
      <c r="Q110" s="34" t="n">
        <f aca="false">SUM(K110:P110)</f>
        <v>340</v>
      </c>
      <c r="R110" s="34" t="n">
        <v>35</v>
      </c>
      <c r="S110" s="40"/>
      <c r="T110" s="34"/>
      <c r="U110" s="30"/>
      <c r="V110" s="16"/>
      <c r="W110" s="16"/>
    </row>
    <row r="111" customFormat="false" ht="16.5" hidden="false" customHeight="true" outlineLevel="0" collapsed="false">
      <c r="A111" s="31" t="n">
        <f aca="false">A110+1</f>
        <v>110</v>
      </c>
      <c r="B111" s="30" t="s">
        <v>620</v>
      </c>
      <c r="C111" s="30" t="s">
        <v>317</v>
      </c>
      <c r="D111" s="30" t="s">
        <v>312</v>
      </c>
      <c r="E111" s="30" t="s">
        <v>621</v>
      </c>
      <c r="F111" s="30" t="s">
        <v>389</v>
      </c>
      <c r="G111" s="28" t="s">
        <v>286</v>
      </c>
      <c r="H111" s="30" t="s">
        <v>420</v>
      </c>
      <c r="I111" s="28" t="s">
        <v>286</v>
      </c>
      <c r="J111" s="30" t="s">
        <v>392</v>
      </c>
      <c r="K111" s="34" t="n">
        <v>65</v>
      </c>
      <c r="L111" s="34" t="n">
        <v>90</v>
      </c>
      <c r="M111" s="34" t="n">
        <v>120</v>
      </c>
      <c r="N111" s="34" t="n">
        <v>85</v>
      </c>
      <c r="O111" s="34" t="n">
        <v>70</v>
      </c>
      <c r="P111" s="34" t="n">
        <v>60</v>
      </c>
      <c r="Q111" s="34" t="n">
        <f aca="false">SUM(K111:P111)</f>
        <v>490</v>
      </c>
      <c r="R111" s="16"/>
      <c r="S111" s="39" t="s">
        <v>577</v>
      </c>
      <c r="T111" s="34"/>
      <c r="U111" s="30"/>
      <c r="V111" s="16"/>
      <c r="W111" s="16"/>
    </row>
    <row r="112" customFormat="false" ht="16.5" hidden="false" customHeight="true" outlineLevel="0" collapsed="false">
      <c r="A112" s="31" t="n">
        <f aca="false">A111+1</f>
        <v>111</v>
      </c>
      <c r="B112" s="30" t="s">
        <v>622</v>
      </c>
      <c r="C112" s="30" t="s">
        <v>306</v>
      </c>
      <c r="D112" s="30" t="s">
        <v>283</v>
      </c>
      <c r="E112" s="30"/>
      <c r="F112" s="30" t="s">
        <v>526</v>
      </c>
      <c r="G112" s="28" t="s">
        <v>286</v>
      </c>
      <c r="H112" s="30" t="s">
        <v>527</v>
      </c>
      <c r="I112" s="28" t="s">
        <v>286</v>
      </c>
      <c r="J112" s="30" t="s">
        <v>528</v>
      </c>
      <c r="K112" s="34" t="n">
        <v>80</v>
      </c>
      <c r="L112" s="34" t="n">
        <v>85</v>
      </c>
      <c r="M112" s="34" t="n">
        <v>95</v>
      </c>
      <c r="N112" s="34" t="n">
        <v>30</v>
      </c>
      <c r="O112" s="34" t="n">
        <v>30</v>
      </c>
      <c r="P112" s="34" t="n">
        <v>25</v>
      </c>
      <c r="Q112" s="34" t="n">
        <f aca="false">SUM(K112:P112)</f>
        <v>345</v>
      </c>
      <c r="R112" s="34" t="n">
        <v>42</v>
      </c>
      <c r="S112" s="39" t="s">
        <v>418</v>
      </c>
      <c r="T112" s="34"/>
      <c r="U112" s="30"/>
      <c r="V112" s="16"/>
      <c r="W112" s="16"/>
    </row>
    <row r="113" customFormat="false" ht="16.5" hidden="false" customHeight="true" outlineLevel="0" collapsed="false">
      <c r="A113" s="31" t="n">
        <f aca="false">A112+1</f>
        <v>112</v>
      </c>
      <c r="B113" s="30" t="s">
        <v>623</v>
      </c>
      <c r="C113" s="30" t="s">
        <v>306</v>
      </c>
      <c r="D113" s="30" t="s">
        <v>283</v>
      </c>
      <c r="E113" s="30"/>
      <c r="F113" s="30" t="s">
        <v>532</v>
      </c>
      <c r="G113" s="28" t="s">
        <v>286</v>
      </c>
      <c r="H113" s="30" t="s">
        <v>531</v>
      </c>
      <c r="I113" s="28" t="s">
        <v>286</v>
      </c>
      <c r="J113" s="30" t="s">
        <v>537</v>
      </c>
      <c r="K113" s="34" t="n">
        <v>105</v>
      </c>
      <c r="L113" s="34" t="n">
        <v>130</v>
      </c>
      <c r="M113" s="34" t="n">
        <v>120</v>
      </c>
      <c r="N113" s="34" t="n">
        <v>45</v>
      </c>
      <c r="O113" s="34" t="n">
        <v>45</v>
      </c>
      <c r="P113" s="34" t="n">
        <v>40</v>
      </c>
      <c r="Q113" s="34" t="n">
        <f aca="false">SUM(K113:P113)</f>
        <v>485</v>
      </c>
      <c r="R113" s="39" t="s">
        <v>120</v>
      </c>
      <c r="S113" s="39" t="s">
        <v>381</v>
      </c>
      <c r="T113" s="34"/>
      <c r="U113" s="30"/>
      <c r="V113" s="16"/>
      <c r="W113" s="16"/>
    </row>
    <row r="114" customFormat="false" ht="16.5" hidden="false" customHeight="true" outlineLevel="0" collapsed="false">
      <c r="A114" s="31" t="n">
        <f aca="false">A113+1</f>
        <v>113</v>
      </c>
      <c r="B114" s="30" t="s">
        <v>624</v>
      </c>
      <c r="C114" s="30" t="s">
        <v>306</v>
      </c>
      <c r="D114" s="30" t="s">
        <v>283</v>
      </c>
      <c r="E114" s="30" t="s">
        <v>625</v>
      </c>
      <c r="F114" s="30" t="s">
        <v>532</v>
      </c>
      <c r="G114" s="28" t="s">
        <v>286</v>
      </c>
      <c r="H114" s="30" t="s">
        <v>531</v>
      </c>
      <c r="I114" s="28" t="s">
        <v>286</v>
      </c>
      <c r="J114" s="30" t="s">
        <v>537</v>
      </c>
      <c r="K114" s="34" t="n">
        <v>115</v>
      </c>
      <c r="L114" s="34" t="n">
        <v>140</v>
      </c>
      <c r="M114" s="34" t="n">
        <v>130</v>
      </c>
      <c r="N114" s="34" t="n">
        <v>55</v>
      </c>
      <c r="O114" s="34" t="n">
        <v>55</v>
      </c>
      <c r="P114" s="34" t="n">
        <v>40</v>
      </c>
      <c r="Q114" s="34" t="n">
        <f aca="false">SUM(K114:P114)</f>
        <v>535</v>
      </c>
      <c r="R114" s="16"/>
      <c r="S114" s="40"/>
      <c r="T114" s="34"/>
      <c r="U114" s="30" t="n">
        <v>1</v>
      </c>
      <c r="V114" s="16"/>
      <c r="W114" s="16"/>
    </row>
    <row r="115" customFormat="false" ht="27.75" hidden="false" customHeight="true" outlineLevel="0" collapsed="false">
      <c r="A115" s="31" t="n">
        <f aca="false">A114+1</f>
        <v>114</v>
      </c>
      <c r="B115" s="30" t="s">
        <v>626</v>
      </c>
      <c r="C115" s="30" t="s">
        <v>337</v>
      </c>
      <c r="D115" s="30" t="s">
        <v>306</v>
      </c>
      <c r="E115" s="30"/>
      <c r="F115" s="30" t="s">
        <v>372</v>
      </c>
      <c r="G115" s="28" t="s">
        <v>286</v>
      </c>
      <c r="H115" s="30" t="s">
        <v>374</v>
      </c>
      <c r="I115" s="28" t="s">
        <v>286</v>
      </c>
      <c r="J115" s="30" t="s">
        <v>627</v>
      </c>
      <c r="K115" s="34" t="n">
        <v>250</v>
      </c>
      <c r="L115" s="34" t="n">
        <v>5</v>
      </c>
      <c r="M115" s="34" t="n">
        <v>5</v>
      </c>
      <c r="N115" s="34" t="n">
        <v>35</v>
      </c>
      <c r="O115" s="34" t="n">
        <v>105</v>
      </c>
      <c r="P115" s="34" t="n">
        <v>50</v>
      </c>
      <c r="Q115" s="34" t="n">
        <f aca="false">SUM(K115:P115)</f>
        <v>450</v>
      </c>
      <c r="R115" s="39" t="s">
        <v>444</v>
      </c>
      <c r="S115" s="39" t="s">
        <v>418</v>
      </c>
      <c r="T115" s="34"/>
      <c r="U115" s="30"/>
      <c r="V115" s="16"/>
      <c r="W115" s="16"/>
    </row>
    <row r="116" customFormat="false" ht="27.75" hidden="false" customHeight="true" outlineLevel="0" collapsed="false">
      <c r="A116" s="31" t="n">
        <f aca="false">A115+1</f>
        <v>115</v>
      </c>
      <c r="B116" s="30" t="s">
        <v>628</v>
      </c>
      <c r="C116" s="30" t="s">
        <v>337</v>
      </c>
      <c r="D116" s="30" t="s">
        <v>306</v>
      </c>
      <c r="E116" s="30"/>
      <c r="F116" s="30" t="s">
        <v>629</v>
      </c>
      <c r="G116" s="28" t="s">
        <v>286</v>
      </c>
      <c r="H116" s="30" t="s">
        <v>374</v>
      </c>
      <c r="I116" s="28" t="s">
        <v>286</v>
      </c>
      <c r="J116" s="30" t="s">
        <v>627</v>
      </c>
      <c r="K116" s="34" t="n">
        <v>255</v>
      </c>
      <c r="L116" s="34" t="n">
        <v>10</v>
      </c>
      <c r="M116" s="34" t="n">
        <v>10</v>
      </c>
      <c r="N116" s="34" t="n">
        <v>75</v>
      </c>
      <c r="O116" s="34" t="n">
        <v>135</v>
      </c>
      <c r="P116" s="34" t="n">
        <v>55</v>
      </c>
      <c r="Q116" s="34" t="n">
        <f aca="false">SUM(K116:P116)</f>
        <v>540</v>
      </c>
      <c r="R116" s="40"/>
      <c r="S116" s="40"/>
      <c r="T116" s="34"/>
      <c r="U116" s="30" t="n">
        <v>1</v>
      </c>
      <c r="V116" s="16"/>
      <c r="W116" s="16"/>
    </row>
    <row r="117" customFormat="false" ht="41.25" hidden="false" customHeight="true" outlineLevel="0" collapsed="false">
      <c r="A117" s="31" t="n">
        <f aca="false">A116+1</f>
        <v>116</v>
      </c>
      <c r="B117" s="30" t="s">
        <v>630</v>
      </c>
      <c r="C117" s="30" t="s">
        <v>283</v>
      </c>
      <c r="D117" s="30" t="s">
        <v>284</v>
      </c>
      <c r="E117" s="30"/>
      <c r="F117" s="30" t="s">
        <v>291</v>
      </c>
      <c r="G117" s="28" t="s">
        <v>286</v>
      </c>
      <c r="H117" s="30" t="s">
        <v>450</v>
      </c>
      <c r="I117" s="28" t="s">
        <v>286</v>
      </c>
      <c r="J117" s="30" t="s">
        <v>292</v>
      </c>
      <c r="K117" s="34" t="n">
        <v>65</v>
      </c>
      <c r="L117" s="34" t="n">
        <v>55</v>
      </c>
      <c r="M117" s="34" t="n">
        <v>115</v>
      </c>
      <c r="N117" s="34" t="n">
        <v>100</v>
      </c>
      <c r="O117" s="34" t="n">
        <v>40</v>
      </c>
      <c r="P117" s="34" t="n">
        <v>60</v>
      </c>
      <c r="Q117" s="34" t="n">
        <f aca="false">SUM(K117:P117)</f>
        <v>435</v>
      </c>
      <c r="R117" s="40" t="n">
        <v>40</v>
      </c>
      <c r="S117" s="39" t="s">
        <v>631</v>
      </c>
      <c r="T117" s="34"/>
      <c r="U117" s="30"/>
      <c r="V117" s="16"/>
      <c r="W117" s="16"/>
    </row>
    <row r="118" customFormat="false" ht="16.5" hidden="false" customHeight="true" outlineLevel="0" collapsed="false">
      <c r="A118" s="31" t="n">
        <f aca="false">A117+1</f>
        <v>117</v>
      </c>
      <c r="B118" s="30" t="s">
        <v>632</v>
      </c>
      <c r="C118" s="30" t="s">
        <v>283</v>
      </c>
      <c r="D118" s="30" t="s">
        <v>284</v>
      </c>
      <c r="E118" s="30" t="s">
        <v>633</v>
      </c>
      <c r="F118" s="30" t="s">
        <v>454</v>
      </c>
      <c r="G118" s="28" t="s">
        <v>286</v>
      </c>
      <c r="H118" s="30" t="s">
        <v>344</v>
      </c>
      <c r="I118" s="28" t="s">
        <v>286</v>
      </c>
      <c r="J118" s="30" t="s">
        <v>456</v>
      </c>
      <c r="K118" s="34" t="n">
        <v>100</v>
      </c>
      <c r="L118" s="34" t="n">
        <v>100</v>
      </c>
      <c r="M118" s="34" t="n">
        <v>125</v>
      </c>
      <c r="N118" s="34" t="n">
        <v>110</v>
      </c>
      <c r="O118" s="34" t="n">
        <v>50</v>
      </c>
      <c r="P118" s="34" t="n">
        <v>50</v>
      </c>
      <c r="Q118" s="34" t="n">
        <f aca="false">SUM(K118:P118)</f>
        <v>535</v>
      </c>
      <c r="R118" s="40"/>
      <c r="S118" s="40"/>
      <c r="T118" s="34"/>
      <c r="U118" s="30" t="n">
        <v>1</v>
      </c>
      <c r="V118" s="16"/>
      <c r="W118" s="16"/>
    </row>
    <row r="119" customFormat="false" ht="27.75" hidden="false" customHeight="true" outlineLevel="0" collapsed="false">
      <c r="A119" s="31" t="n">
        <f aca="false">A118+1</f>
        <v>118</v>
      </c>
      <c r="B119" s="30" t="s">
        <v>634</v>
      </c>
      <c r="C119" s="30" t="s">
        <v>337</v>
      </c>
      <c r="D119" s="30" t="s">
        <v>306</v>
      </c>
      <c r="E119" s="30"/>
      <c r="F119" s="30" t="s">
        <v>375</v>
      </c>
      <c r="G119" s="28" t="s">
        <v>286</v>
      </c>
      <c r="H119" s="30" t="s">
        <v>374</v>
      </c>
      <c r="I119" s="30" t="s">
        <v>380</v>
      </c>
      <c r="J119" s="30" t="s">
        <v>618</v>
      </c>
      <c r="K119" s="34" t="n">
        <v>105</v>
      </c>
      <c r="L119" s="34" t="n">
        <v>95</v>
      </c>
      <c r="M119" s="34" t="n">
        <v>80</v>
      </c>
      <c r="N119" s="34" t="n">
        <v>40</v>
      </c>
      <c r="O119" s="34" t="n">
        <v>80</v>
      </c>
      <c r="P119" s="34" t="n">
        <v>90</v>
      </c>
      <c r="Q119" s="34" t="n">
        <f aca="false">SUM(K119:P119)</f>
        <v>490</v>
      </c>
      <c r="R119" s="40"/>
      <c r="S119" s="39" t="s">
        <v>418</v>
      </c>
      <c r="T119" s="34"/>
      <c r="U119" s="30" t="n">
        <v>1</v>
      </c>
      <c r="V119" s="16"/>
      <c r="W119" s="16"/>
    </row>
    <row r="120" customFormat="false" ht="16.5" hidden="false" customHeight="true" outlineLevel="0" collapsed="false">
      <c r="A120" s="31" t="n">
        <f aca="false">A119+1</f>
        <v>119</v>
      </c>
      <c r="B120" s="30" t="s">
        <v>635</v>
      </c>
      <c r="C120" s="30" t="s">
        <v>293</v>
      </c>
      <c r="D120" s="30" t="s">
        <v>301</v>
      </c>
      <c r="E120" s="30"/>
      <c r="F120" s="30" t="s">
        <v>314</v>
      </c>
      <c r="G120" s="28" t="s">
        <v>286</v>
      </c>
      <c r="H120" s="30" t="s">
        <v>315</v>
      </c>
      <c r="I120" s="28" t="s">
        <v>286</v>
      </c>
      <c r="J120" s="30" t="s">
        <v>316</v>
      </c>
      <c r="K120" s="34" t="n">
        <v>30</v>
      </c>
      <c r="L120" s="34" t="n">
        <v>40</v>
      </c>
      <c r="M120" s="34" t="n">
        <v>70</v>
      </c>
      <c r="N120" s="34" t="n">
        <v>70</v>
      </c>
      <c r="O120" s="34" t="n">
        <v>25</v>
      </c>
      <c r="P120" s="34" t="n">
        <v>60</v>
      </c>
      <c r="Q120" s="34" t="n">
        <f aca="false">SUM(K120:P120)</f>
        <v>295</v>
      </c>
      <c r="R120" s="34" t="n">
        <v>32</v>
      </c>
      <c r="S120" s="40" t="s">
        <v>636</v>
      </c>
      <c r="T120" s="34"/>
      <c r="U120" s="30"/>
      <c r="V120" s="16"/>
      <c r="W120" s="16"/>
    </row>
    <row r="121" customFormat="false" ht="16.5" hidden="false" customHeight="true" outlineLevel="0" collapsed="false">
      <c r="A121" s="31" t="n">
        <f aca="false">A120+1</f>
        <v>120</v>
      </c>
      <c r="B121" s="30" t="s">
        <v>637</v>
      </c>
      <c r="C121" s="30" t="s">
        <v>293</v>
      </c>
      <c r="D121" s="30" t="s">
        <v>301</v>
      </c>
      <c r="E121" s="30"/>
      <c r="F121" s="30" t="s">
        <v>319</v>
      </c>
      <c r="G121" s="28" t="s">
        <v>286</v>
      </c>
      <c r="H121" s="30" t="s">
        <v>320</v>
      </c>
      <c r="I121" s="28" t="s">
        <v>286</v>
      </c>
      <c r="J121" s="30" t="s">
        <v>321</v>
      </c>
      <c r="K121" s="34" t="n">
        <v>55</v>
      </c>
      <c r="L121" s="34" t="n">
        <v>65</v>
      </c>
      <c r="M121" s="34" t="n">
        <v>95</v>
      </c>
      <c r="N121" s="34" t="n">
        <v>95</v>
      </c>
      <c r="O121" s="34" t="n">
        <v>45</v>
      </c>
      <c r="P121" s="34" t="n">
        <v>85</v>
      </c>
      <c r="Q121" s="34" t="n">
        <f aca="false">SUM(K121:P121)</f>
        <v>440</v>
      </c>
      <c r="R121" s="39" t="s">
        <v>121</v>
      </c>
      <c r="S121" s="39" t="s">
        <v>492</v>
      </c>
      <c r="T121" s="34"/>
      <c r="U121" s="30"/>
      <c r="V121" s="16"/>
      <c r="W121" s="16"/>
    </row>
    <row r="122" customFormat="false" ht="16.5" hidden="false" customHeight="true" outlineLevel="0" collapsed="false">
      <c r="A122" s="31" t="n">
        <f aca="false">A121+1</f>
        <v>121</v>
      </c>
      <c r="B122" s="30" t="s">
        <v>638</v>
      </c>
      <c r="C122" s="30" t="s">
        <v>293</v>
      </c>
      <c r="D122" s="30" t="s">
        <v>301</v>
      </c>
      <c r="E122" s="30" t="s">
        <v>474</v>
      </c>
      <c r="F122" s="30" t="s">
        <v>325</v>
      </c>
      <c r="G122" s="28" t="s">
        <v>286</v>
      </c>
      <c r="H122" s="30" t="s">
        <v>326</v>
      </c>
      <c r="I122" s="28" t="s">
        <v>475</v>
      </c>
      <c r="J122" s="30" t="s">
        <v>639</v>
      </c>
      <c r="K122" s="34" t="n">
        <v>75</v>
      </c>
      <c r="L122" s="34" t="n">
        <v>95</v>
      </c>
      <c r="M122" s="34" t="n">
        <v>95</v>
      </c>
      <c r="N122" s="34" t="n">
        <v>95</v>
      </c>
      <c r="O122" s="34" t="n">
        <v>95</v>
      </c>
      <c r="P122" s="34" t="n">
        <v>85</v>
      </c>
      <c r="Q122" s="34" t="n">
        <f aca="false">SUM(K122:P122)</f>
        <v>540</v>
      </c>
      <c r="R122" s="16"/>
      <c r="S122" s="40"/>
      <c r="T122" s="34"/>
      <c r="U122" s="30" t="n">
        <v>1</v>
      </c>
      <c r="V122" s="16"/>
      <c r="W122" s="16"/>
    </row>
    <row r="123" customFormat="false" ht="16.5" hidden="false" customHeight="true" outlineLevel="0" collapsed="false">
      <c r="A123" s="31" t="n">
        <f aca="false">A122+1</f>
        <v>122</v>
      </c>
      <c r="B123" s="30" t="s">
        <v>640</v>
      </c>
      <c r="C123" s="30" t="s">
        <v>293</v>
      </c>
      <c r="D123" s="30" t="s">
        <v>301</v>
      </c>
      <c r="E123" s="30"/>
      <c r="F123" s="30" t="s">
        <v>314</v>
      </c>
      <c r="G123" s="28" t="s">
        <v>286</v>
      </c>
      <c r="H123" s="30" t="s">
        <v>315</v>
      </c>
      <c r="I123" s="28" t="s">
        <v>286</v>
      </c>
      <c r="J123" s="30" t="s">
        <v>316</v>
      </c>
      <c r="K123" s="34" t="n">
        <v>45</v>
      </c>
      <c r="L123" s="34" t="n">
        <v>67</v>
      </c>
      <c r="M123" s="34" t="n">
        <v>60</v>
      </c>
      <c r="N123" s="34" t="n">
        <v>35</v>
      </c>
      <c r="O123" s="34" t="n">
        <v>50</v>
      </c>
      <c r="P123" s="34" t="n">
        <v>63</v>
      </c>
      <c r="Q123" s="34" t="n">
        <f aca="false">SUM(K123:P123)</f>
        <v>320</v>
      </c>
      <c r="R123" s="34" t="n">
        <v>33</v>
      </c>
      <c r="S123" s="39" t="s">
        <v>492</v>
      </c>
      <c r="T123" s="34"/>
      <c r="U123" s="30"/>
      <c r="V123" s="16"/>
      <c r="W123" s="16"/>
    </row>
    <row r="124" customFormat="false" ht="16.5" hidden="false" customHeight="true" outlineLevel="0" collapsed="false">
      <c r="A124" s="31" t="n">
        <f aca="false">A123+1</f>
        <v>123</v>
      </c>
      <c r="B124" s="30" t="s">
        <v>641</v>
      </c>
      <c r="C124" s="30" t="s">
        <v>293</v>
      </c>
      <c r="D124" s="30" t="s">
        <v>301</v>
      </c>
      <c r="E124" s="30"/>
      <c r="F124" s="30" t="s">
        <v>319</v>
      </c>
      <c r="G124" s="28" t="s">
        <v>412</v>
      </c>
      <c r="H124" s="30" t="s">
        <v>320</v>
      </c>
      <c r="I124" s="28" t="s">
        <v>642</v>
      </c>
      <c r="J124" s="30" t="s">
        <v>321</v>
      </c>
      <c r="K124" s="34" t="n">
        <v>80</v>
      </c>
      <c r="L124" s="34" t="n">
        <v>92</v>
      </c>
      <c r="M124" s="34" t="n">
        <v>65</v>
      </c>
      <c r="N124" s="34" t="n">
        <v>65</v>
      </c>
      <c r="O124" s="34" t="n">
        <v>80</v>
      </c>
      <c r="P124" s="34" t="n">
        <v>68</v>
      </c>
      <c r="Q124" s="34" t="n">
        <f aca="false">SUM(K124:P124)</f>
        <v>450</v>
      </c>
      <c r="R124" s="40"/>
      <c r="S124" s="39" t="s">
        <v>492</v>
      </c>
      <c r="T124" s="34"/>
      <c r="U124" s="30" t="n">
        <v>1</v>
      </c>
      <c r="V124" s="16"/>
      <c r="W124" s="16"/>
    </row>
    <row r="125" customFormat="false" ht="16.5" hidden="false" customHeight="true" outlineLevel="0" collapsed="false">
      <c r="A125" s="31" t="n">
        <f aca="false">A124+1</f>
        <v>124</v>
      </c>
      <c r="B125" s="30" t="s">
        <v>643</v>
      </c>
      <c r="C125" s="30" t="s">
        <v>293</v>
      </c>
      <c r="D125" s="30" t="s">
        <v>301</v>
      </c>
      <c r="E125" s="30"/>
      <c r="F125" s="30" t="s">
        <v>314</v>
      </c>
      <c r="G125" s="28" t="s">
        <v>286</v>
      </c>
      <c r="H125" s="30" t="s">
        <v>315</v>
      </c>
      <c r="I125" s="28" t="s">
        <v>286</v>
      </c>
      <c r="J125" s="30" t="s">
        <v>316</v>
      </c>
      <c r="K125" s="34" t="n">
        <v>30</v>
      </c>
      <c r="L125" s="34" t="n">
        <v>45</v>
      </c>
      <c r="M125" s="34" t="n">
        <v>55</v>
      </c>
      <c r="N125" s="34" t="n">
        <v>70</v>
      </c>
      <c r="O125" s="34" t="n">
        <v>55</v>
      </c>
      <c r="P125" s="34" t="n">
        <v>85</v>
      </c>
      <c r="Q125" s="34" t="n">
        <f aca="false">SUM(K125:P125)</f>
        <v>340</v>
      </c>
      <c r="R125" s="39" t="s">
        <v>114</v>
      </c>
      <c r="S125" s="39" t="s">
        <v>579</v>
      </c>
      <c r="T125" s="34"/>
      <c r="U125" s="30"/>
      <c r="V125" s="16"/>
      <c r="W125" s="16"/>
    </row>
    <row r="126" customFormat="false" ht="16.5" hidden="false" customHeight="true" outlineLevel="0" collapsed="false">
      <c r="A126" s="31" t="n">
        <f aca="false">A125+1</f>
        <v>125</v>
      </c>
      <c r="B126" s="30" t="s">
        <v>644</v>
      </c>
      <c r="C126" s="30" t="s">
        <v>293</v>
      </c>
      <c r="D126" s="30" t="s">
        <v>301</v>
      </c>
      <c r="E126" s="30"/>
      <c r="F126" s="30" t="s">
        <v>325</v>
      </c>
      <c r="G126" s="28" t="s">
        <v>286</v>
      </c>
      <c r="H126" s="30" t="s">
        <v>326</v>
      </c>
      <c r="I126" s="28" t="s">
        <v>286</v>
      </c>
      <c r="J126" s="30" t="s">
        <v>476</v>
      </c>
      <c r="K126" s="34" t="n">
        <v>60</v>
      </c>
      <c r="L126" s="34" t="n">
        <v>75</v>
      </c>
      <c r="M126" s="34" t="n">
        <v>85</v>
      </c>
      <c r="N126" s="34" t="n">
        <v>100</v>
      </c>
      <c r="O126" s="34" t="n">
        <v>85</v>
      </c>
      <c r="P126" s="34" t="n">
        <v>115</v>
      </c>
      <c r="Q126" s="34" t="n">
        <f aca="false">SUM(K126:P126)</f>
        <v>520</v>
      </c>
      <c r="R126" s="16"/>
      <c r="S126" s="40"/>
      <c r="T126" s="34"/>
      <c r="U126" s="30" t="n">
        <v>1</v>
      </c>
      <c r="V126" s="16"/>
      <c r="W126" s="16"/>
    </row>
    <row r="127" customFormat="false" ht="16.5" hidden="false" customHeight="true" outlineLevel="0" collapsed="false">
      <c r="A127" s="31" t="n">
        <f aca="false">A126+1</f>
        <v>126</v>
      </c>
      <c r="B127" s="30" t="s">
        <v>645</v>
      </c>
      <c r="C127" s="30" t="s">
        <v>312</v>
      </c>
      <c r="D127" s="30" t="s">
        <v>312</v>
      </c>
      <c r="E127" s="30"/>
      <c r="F127" s="30" t="s">
        <v>500</v>
      </c>
      <c r="G127" s="28" t="s">
        <v>286</v>
      </c>
      <c r="H127" s="30" t="s">
        <v>504</v>
      </c>
      <c r="I127" s="28" t="s">
        <v>343</v>
      </c>
      <c r="J127" s="30" t="s">
        <v>505</v>
      </c>
      <c r="K127" s="34" t="n">
        <v>40</v>
      </c>
      <c r="L127" s="34" t="n">
        <v>45</v>
      </c>
      <c r="M127" s="34" t="n">
        <v>65</v>
      </c>
      <c r="N127" s="34" t="n">
        <v>100</v>
      </c>
      <c r="O127" s="34" t="n">
        <v>120</v>
      </c>
      <c r="P127" s="34" t="n">
        <v>90</v>
      </c>
      <c r="Q127" s="34" t="n">
        <f aca="false">SUM(K127:P127)</f>
        <v>460</v>
      </c>
      <c r="R127" s="40"/>
      <c r="S127" s="40"/>
      <c r="T127" s="34"/>
      <c r="U127" s="30" t="n">
        <v>1</v>
      </c>
      <c r="V127" s="16"/>
      <c r="W127" s="16"/>
    </row>
    <row r="128" customFormat="false" ht="16.5" hidden="false" customHeight="true" outlineLevel="0" collapsed="false">
      <c r="A128" s="31" t="n">
        <f aca="false">A127+1</f>
        <v>127</v>
      </c>
      <c r="B128" s="30" t="s">
        <v>646</v>
      </c>
      <c r="C128" s="30" t="s">
        <v>283</v>
      </c>
      <c r="D128" s="30" t="s">
        <v>284</v>
      </c>
      <c r="E128" s="30" t="str">
        <f aca="false">E129</f>
        <v>むしのしらせ：HPが最大HPの1/3以下のとき、攻撃のダメージが1.5倍</v>
      </c>
      <c r="F128" s="30" t="s">
        <v>462</v>
      </c>
      <c r="G128" s="28" t="s">
        <v>286</v>
      </c>
      <c r="H128" s="30" t="s">
        <v>647</v>
      </c>
      <c r="I128" s="28" t="s">
        <v>343</v>
      </c>
      <c r="J128" s="30" t="s">
        <v>648</v>
      </c>
      <c r="K128" s="34" t="n">
        <v>70</v>
      </c>
      <c r="L128" s="34" t="n">
        <v>110</v>
      </c>
      <c r="M128" s="34" t="n">
        <v>80</v>
      </c>
      <c r="N128" s="34" t="n">
        <v>55</v>
      </c>
      <c r="O128" s="34" t="n">
        <v>80</v>
      </c>
      <c r="P128" s="34" t="n">
        <v>105</v>
      </c>
      <c r="Q128" s="34" t="n">
        <f aca="false">SUM(K128:P128)</f>
        <v>500</v>
      </c>
      <c r="R128" s="39" t="s">
        <v>120</v>
      </c>
      <c r="S128" s="39" t="s">
        <v>649</v>
      </c>
      <c r="T128" s="34"/>
      <c r="U128" s="30" t="n">
        <v>1</v>
      </c>
      <c r="V128" s="16"/>
      <c r="W128" s="16"/>
    </row>
    <row r="129" customFormat="false" ht="16.5" hidden="false" customHeight="true" outlineLevel="0" collapsed="false">
      <c r="A129" s="31" t="n">
        <f aca="false">A128+1</f>
        <v>128</v>
      </c>
      <c r="B129" s="30" t="s">
        <v>650</v>
      </c>
      <c r="C129" s="30" t="s">
        <v>328</v>
      </c>
      <c r="D129" s="30" t="s">
        <v>284</v>
      </c>
      <c r="E129" s="30" t="s">
        <v>350</v>
      </c>
      <c r="F129" s="30" t="s">
        <v>651</v>
      </c>
      <c r="G129" s="28" t="s">
        <v>286</v>
      </c>
      <c r="H129" s="30" t="s">
        <v>557</v>
      </c>
      <c r="I129" s="28" t="s">
        <v>343</v>
      </c>
      <c r="J129" s="30" t="s">
        <v>651</v>
      </c>
      <c r="K129" s="34" t="n">
        <v>70</v>
      </c>
      <c r="L129" s="34" t="n">
        <v>130</v>
      </c>
      <c r="M129" s="34" t="n">
        <v>100</v>
      </c>
      <c r="N129" s="34" t="n">
        <v>55</v>
      </c>
      <c r="O129" s="34" t="n">
        <v>80</v>
      </c>
      <c r="P129" s="34" t="n">
        <v>65</v>
      </c>
      <c r="Q129" s="34" t="n">
        <f aca="false">SUM(K129:P129)</f>
        <v>500</v>
      </c>
      <c r="R129" s="16"/>
      <c r="S129" s="40"/>
      <c r="T129" s="34"/>
      <c r="U129" s="30" t="n">
        <v>1</v>
      </c>
      <c r="V129" s="16"/>
      <c r="W129" s="16"/>
    </row>
    <row r="130" customFormat="false" ht="27.75" hidden="false" customHeight="true" outlineLevel="0" collapsed="false">
      <c r="A130" s="31" t="n">
        <f aca="false">A129+1</f>
        <v>129</v>
      </c>
      <c r="B130" s="30" t="s">
        <v>652</v>
      </c>
      <c r="C130" s="30" t="s">
        <v>301</v>
      </c>
      <c r="D130" s="30" t="s">
        <v>306</v>
      </c>
      <c r="E130" s="30"/>
      <c r="F130" s="30" t="s">
        <v>400</v>
      </c>
      <c r="G130" s="28" t="s">
        <v>286</v>
      </c>
      <c r="H130" s="28" t="s">
        <v>401</v>
      </c>
      <c r="I130" s="28" t="s">
        <v>286</v>
      </c>
      <c r="J130" s="30" t="s">
        <v>402</v>
      </c>
      <c r="K130" s="34" t="n">
        <v>65</v>
      </c>
      <c r="L130" s="34" t="n">
        <v>83</v>
      </c>
      <c r="M130" s="34" t="n">
        <v>57</v>
      </c>
      <c r="N130" s="34" t="n">
        <v>95</v>
      </c>
      <c r="O130" s="34" t="n">
        <v>85</v>
      </c>
      <c r="P130" s="34" t="n">
        <v>105</v>
      </c>
      <c r="Q130" s="34" t="n">
        <f aca="false">SUM(K130:P130)</f>
        <v>490</v>
      </c>
      <c r="R130" s="39" t="s">
        <v>122</v>
      </c>
      <c r="S130" s="39" t="s">
        <v>653</v>
      </c>
      <c r="T130" s="34"/>
      <c r="U130" s="30"/>
      <c r="V130" s="16"/>
      <c r="W130" s="16"/>
    </row>
    <row r="131" customFormat="false" ht="16.5" hidden="false" customHeight="true" outlineLevel="0" collapsed="false">
      <c r="A131" s="31" t="n">
        <f aca="false">A130+1</f>
        <v>130</v>
      </c>
      <c r="B131" s="30" t="s">
        <v>654</v>
      </c>
      <c r="C131" s="30" t="s">
        <v>301</v>
      </c>
      <c r="D131" s="30" t="s">
        <v>306</v>
      </c>
      <c r="E131" s="30" t="s">
        <v>655</v>
      </c>
      <c r="F131" s="30" t="s">
        <v>400</v>
      </c>
      <c r="G131" s="28" t="s">
        <v>286</v>
      </c>
      <c r="H131" s="28" t="s">
        <v>401</v>
      </c>
      <c r="I131" s="28" t="s">
        <v>286</v>
      </c>
      <c r="J131" s="30" t="s">
        <v>402</v>
      </c>
      <c r="K131" s="34" t="n">
        <v>75</v>
      </c>
      <c r="L131" s="34" t="n">
        <v>123</v>
      </c>
      <c r="M131" s="34" t="n">
        <v>67</v>
      </c>
      <c r="N131" s="34" t="n">
        <v>95</v>
      </c>
      <c r="O131" s="34" t="n">
        <v>85</v>
      </c>
      <c r="P131" s="34" t="n">
        <v>83</v>
      </c>
      <c r="Q131" s="34" t="n">
        <f aca="false">SUM(K131:P131)</f>
        <v>528</v>
      </c>
      <c r="R131" s="16"/>
      <c r="S131" s="40"/>
      <c r="T131" s="34"/>
      <c r="U131" s="30" t="n">
        <v>1</v>
      </c>
      <c r="V131" s="16"/>
      <c r="W131" s="16"/>
    </row>
    <row r="132" customFormat="false" ht="16.5" hidden="false" customHeight="true" outlineLevel="0" collapsed="false">
      <c r="A132" s="31" t="n">
        <f aca="false">A131+1</f>
        <v>131</v>
      </c>
      <c r="B132" s="30" t="s">
        <v>656</v>
      </c>
      <c r="C132" s="30" t="s">
        <v>284</v>
      </c>
      <c r="D132" s="30" t="s">
        <v>293</v>
      </c>
      <c r="E132" s="30"/>
      <c r="F132" s="30" t="s">
        <v>309</v>
      </c>
      <c r="G132" s="28" t="s">
        <v>286</v>
      </c>
      <c r="H132" s="30" t="s">
        <v>310</v>
      </c>
      <c r="I132" s="28" t="s">
        <v>286</v>
      </c>
      <c r="J132" s="30" t="s">
        <v>436</v>
      </c>
      <c r="K132" s="34" t="n">
        <v>65</v>
      </c>
      <c r="L132" s="34" t="n">
        <v>95</v>
      </c>
      <c r="M132" s="34" t="n">
        <v>57</v>
      </c>
      <c r="N132" s="34" t="n">
        <v>100</v>
      </c>
      <c r="O132" s="34" t="n">
        <v>85</v>
      </c>
      <c r="P132" s="34" t="n">
        <v>93</v>
      </c>
      <c r="Q132" s="34" t="n">
        <f aca="false">SUM(K132:P132)</f>
        <v>495</v>
      </c>
      <c r="R132" s="39" t="s">
        <v>122</v>
      </c>
      <c r="S132" s="39" t="s">
        <v>657</v>
      </c>
      <c r="T132" s="34"/>
      <c r="U132" s="30"/>
      <c r="V132" s="16"/>
      <c r="W132" s="16"/>
    </row>
    <row r="133" customFormat="false" ht="16.5" hidden="false" customHeight="true" outlineLevel="0" collapsed="false">
      <c r="A133" s="31" t="n">
        <f aca="false">A132+1</f>
        <v>132</v>
      </c>
      <c r="B133" s="30" t="s">
        <v>658</v>
      </c>
      <c r="C133" s="30" t="s">
        <v>284</v>
      </c>
      <c r="D133" s="30" t="s">
        <v>293</v>
      </c>
      <c r="E133" s="30" t="s">
        <v>540</v>
      </c>
      <c r="F133" s="30" t="s">
        <v>309</v>
      </c>
      <c r="G133" s="28" t="s">
        <v>286</v>
      </c>
      <c r="H133" s="30" t="s">
        <v>310</v>
      </c>
      <c r="I133" s="28" t="s">
        <v>286</v>
      </c>
      <c r="J133" s="30" t="s">
        <v>436</v>
      </c>
      <c r="K133" s="34" t="n">
        <v>75</v>
      </c>
      <c r="L133" s="34" t="n">
        <v>95</v>
      </c>
      <c r="M133" s="34" t="n">
        <v>67</v>
      </c>
      <c r="N133" s="34" t="n">
        <v>125</v>
      </c>
      <c r="O133" s="34" t="n">
        <v>95</v>
      </c>
      <c r="P133" s="34" t="n">
        <v>83</v>
      </c>
      <c r="Q133" s="34" t="n">
        <f aca="false">SUM(K133:P133)</f>
        <v>540</v>
      </c>
      <c r="R133" s="16"/>
      <c r="S133" s="40"/>
      <c r="T133" s="34"/>
      <c r="U133" s="30" t="n">
        <v>1</v>
      </c>
      <c r="V133" s="16"/>
      <c r="W133" s="16"/>
    </row>
    <row r="134" customFormat="false" ht="41.25" hidden="false" customHeight="true" outlineLevel="0" collapsed="false">
      <c r="A134" s="31" t="n">
        <f aca="false">A133+1</f>
        <v>133</v>
      </c>
      <c r="B134" s="30" t="s">
        <v>659</v>
      </c>
      <c r="C134" s="30" t="s">
        <v>283</v>
      </c>
      <c r="D134" s="30" t="s">
        <v>284</v>
      </c>
      <c r="E134" s="30"/>
      <c r="F134" s="30" t="s">
        <v>462</v>
      </c>
      <c r="G134" s="28" t="s">
        <v>412</v>
      </c>
      <c r="H134" s="30" t="s">
        <v>647</v>
      </c>
      <c r="I134" s="28" t="s">
        <v>343</v>
      </c>
      <c r="J134" s="30" t="s">
        <v>648</v>
      </c>
      <c r="K134" s="34" t="n">
        <v>65</v>
      </c>
      <c r="L134" s="34" t="n">
        <v>125</v>
      </c>
      <c r="M134" s="34" t="n">
        <v>100</v>
      </c>
      <c r="N134" s="34" t="n">
        <v>55</v>
      </c>
      <c r="O134" s="34" t="n">
        <v>70</v>
      </c>
      <c r="P134" s="34" t="n">
        <v>85</v>
      </c>
      <c r="Q134" s="34" t="n">
        <f aca="false">SUM(K134:P134)</f>
        <v>500</v>
      </c>
      <c r="R134" s="40"/>
      <c r="S134" s="39" t="s">
        <v>660</v>
      </c>
      <c r="T134" s="34"/>
      <c r="U134" s="30" t="n">
        <v>1</v>
      </c>
      <c r="V134" s="16"/>
      <c r="W134" s="16"/>
    </row>
    <row r="135" customFormat="false" ht="27.75" hidden="false" customHeight="true" outlineLevel="0" collapsed="false">
      <c r="A135" s="31" t="n">
        <f aca="false">A134+1</f>
        <v>134</v>
      </c>
      <c r="B135" s="30" t="s">
        <v>661</v>
      </c>
      <c r="C135" s="30" t="s">
        <v>337</v>
      </c>
      <c r="D135" s="30" t="s">
        <v>306</v>
      </c>
      <c r="E135" s="30" t="s">
        <v>388</v>
      </c>
      <c r="F135" s="30" t="s">
        <v>375</v>
      </c>
      <c r="G135" s="28" t="s">
        <v>286</v>
      </c>
      <c r="H135" s="30" t="s">
        <v>374</v>
      </c>
      <c r="I135" s="30" t="s">
        <v>380</v>
      </c>
      <c r="J135" s="30" t="s">
        <v>662</v>
      </c>
      <c r="K135" s="34" t="n">
        <v>75</v>
      </c>
      <c r="L135" s="34" t="n">
        <v>100</v>
      </c>
      <c r="M135" s="34" t="n">
        <v>95</v>
      </c>
      <c r="N135" s="34" t="n">
        <v>40</v>
      </c>
      <c r="O135" s="34" t="n">
        <v>70</v>
      </c>
      <c r="P135" s="34" t="n">
        <v>110</v>
      </c>
      <c r="Q135" s="34" t="n">
        <f aca="false">SUM(K135:P135)</f>
        <v>490</v>
      </c>
      <c r="R135" s="40"/>
      <c r="S135" s="39" t="s">
        <v>418</v>
      </c>
      <c r="T135" s="34"/>
      <c r="U135" s="30" t="n">
        <v>1</v>
      </c>
      <c r="V135" s="16"/>
      <c r="W135" s="16"/>
    </row>
    <row r="136" customFormat="false" ht="16.5" hidden="false" customHeight="true" outlineLevel="0" collapsed="false">
      <c r="A136" s="31" t="n">
        <f aca="false">A135+1</f>
        <v>135</v>
      </c>
      <c r="B136" s="30" t="s">
        <v>663</v>
      </c>
      <c r="C136" s="30" t="s">
        <v>293</v>
      </c>
      <c r="D136" s="30" t="s">
        <v>301</v>
      </c>
      <c r="E136" s="30"/>
      <c r="F136" s="30" t="s">
        <v>314</v>
      </c>
      <c r="G136" s="28" t="s">
        <v>286</v>
      </c>
      <c r="H136" s="30" t="s">
        <v>315</v>
      </c>
      <c r="I136" s="28" t="s">
        <v>286</v>
      </c>
      <c r="J136" s="30" t="s">
        <v>316</v>
      </c>
      <c r="K136" s="34" t="n">
        <v>20</v>
      </c>
      <c r="L136" s="34" t="n">
        <v>10</v>
      </c>
      <c r="M136" s="34" t="n">
        <v>55</v>
      </c>
      <c r="N136" s="34" t="n">
        <v>15</v>
      </c>
      <c r="O136" s="34" t="n">
        <v>20</v>
      </c>
      <c r="P136" s="34" t="n">
        <v>80</v>
      </c>
      <c r="Q136" s="34" t="n">
        <f aca="false">SUM(K136:P136)</f>
        <v>200</v>
      </c>
      <c r="R136" s="34" t="n">
        <v>20</v>
      </c>
      <c r="S136" s="39" t="s">
        <v>492</v>
      </c>
      <c r="T136" s="34"/>
      <c r="U136" s="30"/>
      <c r="V136" s="16"/>
      <c r="W136" s="16"/>
    </row>
    <row r="137" customFormat="false" ht="16.5" hidden="false" customHeight="true" outlineLevel="0" collapsed="false">
      <c r="A137" s="31" t="n">
        <f aca="false">A136+1</f>
        <v>136</v>
      </c>
      <c r="B137" s="30" t="s">
        <v>664</v>
      </c>
      <c r="C137" s="30" t="s">
        <v>293</v>
      </c>
      <c r="D137" s="30" t="s">
        <v>301</v>
      </c>
      <c r="E137" s="30" t="s">
        <v>665</v>
      </c>
      <c r="F137" s="30" t="s">
        <v>325</v>
      </c>
      <c r="G137" s="28" t="s">
        <v>286</v>
      </c>
      <c r="H137" s="30" t="s">
        <v>326</v>
      </c>
      <c r="I137" s="28" t="s">
        <v>286</v>
      </c>
      <c r="J137" s="30" t="s">
        <v>618</v>
      </c>
      <c r="K137" s="34" t="n">
        <v>95</v>
      </c>
      <c r="L137" s="34" t="n">
        <v>125</v>
      </c>
      <c r="M137" s="34" t="n">
        <v>79</v>
      </c>
      <c r="N137" s="34" t="n">
        <v>60</v>
      </c>
      <c r="O137" s="34" t="n">
        <v>100</v>
      </c>
      <c r="P137" s="34" t="n">
        <v>81</v>
      </c>
      <c r="Q137" s="34" t="n">
        <f aca="false">SUM(K137:P137)</f>
        <v>540</v>
      </c>
      <c r="R137" s="16"/>
      <c r="S137" s="39" t="s">
        <v>381</v>
      </c>
      <c r="T137" s="34"/>
      <c r="U137" s="30" t="n">
        <v>1</v>
      </c>
      <c r="V137" s="16"/>
      <c r="W137" s="16"/>
    </row>
    <row r="138" customFormat="false" ht="16.5" hidden="false" customHeight="true" outlineLevel="0" collapsed="false">
      <c r="A138" s="31" t="n">
        <f aca="false">A137+1</f>
        <v>137</v>
      </c>
      <c r="B138" s="30" t="s">
        <v>666</v>
      </c>
      <c r="C138" s="30" t="s">
        <v>293</v>
      </c>
      <c r="D138" s="30" t="s">
        <v>301</v>
      </c>
      <c r="E138" s="30" t="s">
        <v>570</v>
      </c>
      <c r="F138" s="30" t="s">
        <v>581</v>
      </c>
      <c r="G138" s="28" t="s">
        <v>286</v>
      </c>
      <c r="H138" s="30" t="s">
        <v>572</v>
      </c>
      <c r="I138" s="28" t="s">
        <v>440</v>
      </c>
      <c r="J138" s="30" t="s">
        <v>573</v>
      </c>
      <c r="K138" s="34" t="n">
        <v>130</v>
      </c>
      <c r="L138" s="34" t="n">
        <v>85</v>
      </c>
      <c r="M138" s="34" t="n">
        <v>80</v>
      </c>
      <c r="N138" s="34" t="n">
        <v>85</v>
      </c>
      <c r="O138" s="34" t="n">
        <v>95</v>
      </c>
      <c r="P138" s="34" t="n">
        <v>60</v>
      </c>
      <c r="Q138" s="34" t="n">
        <f aca="false">SUM(K138:P138)</f>
        <v>535</v>
      </c>
      <c r="R138" s="40"/>
      <c r="S138" s="40"/>
      <c r="T138" s="34"/>
      <c r="U138" s="30" t="n">
        <v>1</v>
      </c>
      <c r="V138" s="16"/>
      <c r="W138" s="16"/>
    </row>
    <row r="139" customFormat="false" ht="27.75" hidden="false" customHeight="true" outlineLevel="0" collapsed="false">
      <c r="A139" s="31" t="n">
        <f aca="false">A138+1</f>
        <v>138</v>
      </c>
      <c r="B139" s="30" t="s">
        <v>667</v>
      </c>
      <c r="C139" s="30" t="s">
        <v>337</v>
      </c>
      <c r="D139" s="30" t="s">
        <v>306</v>
      </c>
      <c r="E139" s="30" t="s">
        <v>668</v>
      </c>
      <c r="F139" s="30" t="s">
        <v>669</v>
      </c>
      <c r="G139" s="30" t="s">
        <v>670</v>
      </c>
      <c r="H139" s="30" t="s">
        <v>671</v>
      </c>
      <c r="I139" s="30" t="s">
        <v>672</v>
      </c>
      <c r="J139" s="30" t="s">
        <v>286</v>
      </c>
      <c r="K139" s="34" t="n">
        <v>48</v>
      </c>
      <c r="L139" s="34" t="n">
        <v>48</v>
      </c>
      <c r="M139" s="34" t="n">
        <v>48</v>
      </c>
      <c r="N139" s="34" t="n">
        <v>48</v>
      </c>
      <c r="O139" s="34" t="n">
        <v>48</v>
      </c>
      <c r="P139" s="34" t="n">
        <v>48</v>
      </c>
      <c r="Q139" s="34" t="n">
        <f aca="false">SUM(K139:P139)</f>
        <v>288</v>
      </c>
      <c r="R139" s="40"/>
      <c r="S139" s="37" t="s">
        <v>673</v>
      </c>
      <c r="T139" s="34"/>
      <c r="U139" s="30" t="n">
        <v>1</v>
      </c>
      <c r="V139" s="16"/>
      <c r="W139" s="16"/>
    </row>
    <row r="140" customFormat="false" ht="273.75" hidden="false" customHeight="true" outlineLevel="0" collapsed="false">
      <c r="A140" s="31" t="n">
        <f aca="false">A139+1</f>
        <v>139</v>
      </c>
      <c r="B140" s="30" t="s">
        <v>674</v>
      </c>
      <c r="C140" s="30" t="s">
        <v>337</v>
      </c>
      <c r="D140" s="30" t="s">
        <v>306</v>
      </c>
      <c r="E140" s="30"/>
      <c r="F140" s="30" t="s">
        <v>285</v>
      </c>
      <c r="G140" s="28" t="s">
        <v>286</v>
      </c>
      <c r="H140" s="30" t="s">
        <v>368</v>
      </c>
      <c r="I140" s="28" t="s">
        <v>286</v>
      </c>
      <c r="J140" s="30" t="s">
        <v>369</v>
      </c>
      <c r="K140" s="34" t="n">
        <v>55</v>
      </c>
      <c r="L140" s="34" t="n">
        <v>55</v>
      </c>
      <c r="M140" s="34" t="n">
        <v>50</v>
      </c>
      <c r="N140" s="34" t="n">
        <v>45</v>
      </c>
      <c r="O140" s="34" t="n">
        <v>65</v>
      </c>
      <c r="P140" s="34" t="n">
        <v>55</v>
      </c>
      <c r="Q140" s="34" t="n">
        <f aca="false">SUM(K140:P140)</f>
        <v>325</v>
      </c>
      <c r="R140" s="39" t="s">
        <v>675</v>
      </c>
      <c r="S140" s="39" t="s">
        <v>676</v>
      </c>
      <c r="T140" s="34"/>
      <c r="U140" s="30"/>
      <c r="V140" s="16"/>
      <c r="W140" s="16"/>
    </row>
    <row r="141" customFormat="false" ht="16.5" hidden="false" customHeight="true" outlineLevel="0" collapsed="false">
      <c r="A141" s="31" t="n">
        <f aca="false">A140+1</f>
        <v>140</v>
      </c>
      <c r="B141" s="30" t="s">
        <v>677</v>
      </c>
      <c r="C141" s="30" t="s">
        <v>293</v>
      </c>
      <c r="D141" s="30" t="s">
        <v>301</v>
      </c>
      <c r="E141" s="30"/>
      <c r="F141" s="30" t="s">
        <v>325</v>
      </c>
      <c r="G141" s="28" t="s">
        <v>286</v>
      </c>
      <c r="H141" s="30" t="s">
        <v>326</v>
      </c>
      <c r="I141" s="28" t="s">
        <v>286</v>
      </c>
      <c r="J141" s="30" t="s">
        <v>476</v>
      </c>
      <c r="K141" s="34" t="n">
        <v>130</v>
      </c>
      <c r="L141" s="34" t="n">
        <v>65</v>
      </c>
      <c r="M141" s="34" t="n">
        <v>60</v>
      </c>
      <c r="N141" s="34" t="n">
        <v>110</v>
      </c>
      <c r="O141" s="34" t="n">
        <v>95</v>
      </c>
      <c r="P141" s="34" t="n">
        <v>65</v>
      </c>
      <c r="Q141" s="34" t="n">
        <f aca="false">SUM(K141:P141)</f>
        <v>525</v>
      </c>
      <c r="R141" s="40"/>
      <c r="S141" s="40"/>
      <c r="T141" s="34"/>
      <c r="U141" s="30" t="n">
        <v>1</v>
      </c>
      <c r="V141" s="16"/>
      <c r="W141" s="16"/>
    </row>
    <row r="142" customFormat="false" ht="16.5" hidden="false" customHeight="true" outlineLevel="0" collapsed="false">
      <c r="A142" s="31" t="n">
        <f aca="false">A141+1</f>
        <v>141</v>
      </c>
      <c r="B142" s="30" t="s">
        <v>678</v>
      </c>
      <c r="C142" s="30" t="s">
        <v>301</v>
      </c>
      <c r="D142" s="30" t="s">
        <v>306</v>
      </c>
      <c r="E142" s="30"/>
      <c r="F142" s="30" t="s">
        <v>400</v>
      </c>
      <c r="G142" s="28" t="s">
        <v>286</v>
      </c>
      <c r="H142" s="28" t="s">
        <v>401</v>
      </c>
      <c r="I142" s="28" t="s">
        <v>286</v>
      </c>
      <c r="J142" s="30" t="s">
        <v>402</v>
      </c>
      <c r="K142" s="34" t="n">
        <v>65</v>
      </c>
      <c r="L142" s="34" t="n">
        <v>65</v>
      </c>
      <c r="M142" s="34" t="n">
        <v>60</v>
      </c>
      <c r="N142" s="34" t="n">
        <v>110</v>
      </c>
      <c r="O142" s="34" t="n">
        <v>95</v>
      </c>
      <c r="P142" s="34" t="n">
        <v>130</v>
      </c>
      <c r="Q142" s="34" t="n">
        <f aca="false">SUM(K142:P142)</f>
        <v>525</v>
      </c>
      <c r="R142" s="40"/>
      <c r="S142" s="40"/>
      <c r="T142" s="34"/>
      <c r="U142" s="30" t="n">
        <v>1</v>
      </c>
      <c r="V142" s="16"/>
      <c r="W142" s="16"/>
    </row>
    <row r="143" customFormat="false" ht="16.5" hidden="false" customHeight="true" outlineLevel="0" collapsed="false">
      <c r="A143" s="31" t="n">
        <f aca="false">A142+1</f>
        <v>142</v>
      </c>
      <c r="B143" s="30" t="s">
        <v>679</v>
      </c>
      <c r="C143" s="30" t="s">
        <v>284</v>
      </c>
      <c r="D143" s="30" t="s">
        <v>293</v>
      </c>
      <c r="E143" s="30"/>
      <c r="F143" s="30" t="s">
        <v>309</v>
      </c>
      <c r="G143" s="28" t="s">
        <v>286</v>
      </c>
      <c r="H143" s="30" t="s">
        <v>310</v>
      </c>
      <c r="I143" s="28" t="s">
        <v>286</v>
      </c>
      <c r="J143" s="30" t="s">
        <v>436</v>
      </c>
      <c r="K143" s="34" t="n">
        <v>65</v>
      </c>
      <c r="L143" s="34" t="n">
        <v>130</v>
      </c>
      <c r="M143" s="34" t="n">
        <v>60</v>
      </c>
      <c r="N143" s="34" t="n">
        <v>95</v>
      </c>
      <c r="O143" s="34" t="n">
        <v>110</v>
      </c>
      <c r="P143" s="34" t="n">
        <v>65</v>
      </c>
      <c r="Q143" s="34" t="n">
        <f aca="false">SUM(K143:P143)</f>
        <v>525</v>
      </c>
      <c r="R143" s="40"/>
      <c r="S143" s="40"/>
      <c r="T143" s="34"/>
      <c r="U143" s="30" t="n">
        <v>1</v>
      </c>
      <c r="V143" s="16"/>
      <c r="W143" s="16"/>
    </row>
    <row r="144" customFormat="false" ht="16.5" hidden="false" customHeight="true" outlineLevel="0" collapsed="false">
      <c r="A144" s="31" t="n">
        <f aca="false">A143+1</f>
        <v>143</v>
      </c>
      <c r="B144" s="30" t="s">
        <v>680</v>
      </c>
      <c r="C144" s="30" t="s">
        <v>312</v>
      </c>
      <c r="D144" s="30" t="s">
        <v>312</v>
      </c>
      <c r="E144" s="30"/>
      <c r="F144" s="30" t="s">
        <v>508</v>
      </c>
      <c r="G144" s="28" t="s">
        <v>286</v>
      </c>
      <c r="H144" s="30" t="s">
        <v>504</v>
      </c>
      <c r="I144" s="28" t="s">
        <v>286</v>
      </c>
      <c r="J144" s="30" t="s">
        <v>509</v>
      </c>
      <c r="K144" s="34" t="n">
        <v>65</v>
      </c>
      <c r="L144" s="34" t="n">
        <v>65</v>
      </c>
      <c r="M144" s="34" t="n">
        <v>60</v>
      </c>
      <c r="N144" s="34" t="n">
        <v>130</v>
      </c>
      <c r="O144" s="34" t="n">
        <v>95</v>
      </c>
      <c r="P144" s="34" t="n">
        <v>110</v>
      </c>
      <c r="Q144" s="34" t="n">
        <f aca="false">SUM(K144:P144)</f>
        <v>525</v>
      </c>
      <c r="R144" s="40"/>
      <c r="S144" s="40"/>
      <c r="T144" s="34"/>
      <c r="U144" s="30" t="n">
        <v>1</v>
      </c>
      <c r="V144" s="16"/>
      <c r="W144" s="16"/>
    </row>
    <row r="145" customFormat="false" ht="16.5" hidden="false" customHeight="true" outlineLevel="0" collapsed="false">
      <c r="A145" s="31" t="n">
        <f aca="false">A144+1</f>
        <v>144</v>
      </c>
      <c r="B145" s="30" t="s">
        <v>681</v>
      </c>
      <c r="C145" s="30" t="s">
        <v>317</v>
      </c>
      <c r="D145" s="30" t="s">
        <v>306</v>
      </c>
      <c r="E145" s="30"/>
      <c r="F145" s="30" t="s">
        <v>682</v>
      </c>
      <c r="G145" s="28" t="s">
        <v>286</v>
      </c>
      <c r="H145" s="30" t="s">
        <v>683</v>
      </c>
      <c r="I145" s="28" t="s">
        <v>286</v>
      </c>
      <c r="J145" s="30" t="s">
        <v>684</v>
      </c>
      <c r="K145" s="34" t="n">
        <v>95</v>
      </c>
      <c r="L145" s="34" t="n">
        <v>65</v>
      </c>
      <c r="M145" s="34" t="n">
        <v>110</v>
      </c>
      <c r="N145" s="34" t="n">
        <v>60</v>
      </c>
      <c r="O145" s="34" t="n">
        <v>130</v>
      </c>
      <c r="P145" s="34" t="n">
        <v>65</v>
      </c>
      <c r="Q145" s="34" t="n">
        <f aca="false">SUM(K145:P145)</f>
        <v>525</v>
      </c>
      <c r="R145" s="40"/>
      <c r="S145" s="40"/>
      <c r="T145" s="34"/>
      <c r="U145" s="30" t="n">
        <v>1</v>
      </c>
      <c r="V145" s="16"/>
      <c r="W145" s="16"/>
    </row>
    <row r="146" customFormat="false" ht="16.5" hidden="false" customHeight="true" outlineLevel="0" collapsed="false">
      <c r="A146" s="31" t="n">
        <f aca="false">A145+1</f>
        <v>145</v>
      </c>
      <c r="B146" s="30" t="s">
        <v>685</v>
      </c>
      <c r="C146" s="30" t="s">
        <v>283</v>
      </c>
      <c r="D146" s="30" t="s">
        <v>284</v>
      </c>
      <c r="E146" s="30"/>
      <c r="F146" s="30" t="s">
        <v>454</v>
      </c>
      <c r="G146" s="28" t="s">
        <v>286</v>
      </c>
      <c r="H146" s="30" t="s">
        <v>344</v>
      </c>
      <c r="I146" s="28" t="s">
        <v>286</v>
      </c>
      <c r="J146" s="30" t="s">
        <v>456</v>
      </c>
      <c r="K146" s="34" t="n">
        <v>65</v>
      </c>
      <c r="L146" s="34" t="n">
        <v>110</v>
      </c>
      <c r="M146" s="34" t="n">
        <v>130</v>
      </c>
      <c r="N146" s="34" t="n">
        <v>60</v>
      </c>
      <c r="O146" s="34" t="n">
        <v>65</v>
      </c>
      <c r="P146" s="34" t="n">
        <v>95</v>
      </c>
      <c r="Q146" s="34" t="n">
        <f aca="false">SUM(K146:P146)</f>
        <v>525</v>
      </c>
      <c r="R146" s="40"/>
      <c r="S146" s="40"/>
      <c r="T146" s="34"/>
      <c r="U146" s="30" t="n">
        <v>1</v>
      </c>
      <c r="V146" s="16"/>
      <c r="W146" s="16"/>
    </row>
    <row r="147" customFormat="false" ht="16.5" hidden="false" customHeight="true" outlineLevel="0" collapsed="false">
      <c r="A147" s="31" t="n">
        <f aca="false">A146+1</f>
        <v>146</v>
      </c>
      <c r="B147" s="30" t="s">
        <v>686</v>
      </c>
      <c r="C147" s="30" t="s">
        <v>293</v>
      </c>
      <c r="D147" s="30" t="s">
        <v>328</v>
      </c>
      <c r="E147" s="30"/>
      <c r="F147" s="30" t="s">
        <v>581</v>
      </c>
      <c r="G147" s="28" t="s">
        <v>286</v>
      </c>
      <c r="H147" s="30" t="s">
        <v>572</v>
      </c>
      <c r="I147" s="28" t="s">
        <v>286</v>
      </c>
      <c r="J147" s="30" t="s">
        <v>573</v>
      </c>
      <c r="K147" s="34" t="n">
        <v>65</v>
      </c>
      <c r="L147" s="34" t="n">
        <v>60</v>
      </c>
      <c r="M147" s="34" t="n">
        <v>110</v>
      </c>
      <c r="N147" s="34" t="n">
        <v>130</v>
      </c>
      <c r="O147" s="34" t="n">
        <v>95</v>
      </c>
      <c r="P147" s="34" t="n">
        <v>65</v>
      </c>
      <c r="Q147" s="34" t="n">
        <f aca="false">SUM(K147:P147)</f>
        <v>525</v>
      </c>
      <c r="R147" s="40"/>
      <c r="S147" s="40"/>
      <c r="T147" s="34"/>
      <c r="U147" s="30" t="n">
        <v>1</v>
      </c>
      <c r="V147" s="16"/>
      <c r="W147" s="16"/>
    </row>
    <row r="148" customFormat="false" ht="16.5" hidden="false" customHeight="true" outlineLevel="0" collapsed="false">
      <c r="A148" s="31" t="n">
        <f aca="false">A147+1</f>
        <v>147</v>
      </c>
      <c r="B148" s="30" t="s">
        <v>687</v>
      </c>
      <c r="C148" s="30" t="s">
        <v>322</v>
      </c>
      <c r="D148" s="30" t="s">
        <v>328</v>
      </c>
      <c r="E148" s="30"/>
      <c r="F148" s="30" t="s">
        <v>425</v>
      </c>
      <c r="G148" s="28" t="s">
        <v>286</v>
      </c>
      <c r="H148" s="30" t="s">
        <v>427</v>
      </c>
      <c r="I148" s="28" t="s">
        <v>286</v>
      </c>
      <c r="J148" s="30" t="s">
        <v>431</v>
      </c>
      <c r="K148" s="34" t="n">
        <v>95</v>
      </c>
      <c r="L148" s="34" t="n">
        <v>65</v>
      </c>
      <c r="M148" s="34" t="n">
        <v>65</v>
      </c>
      <c r="N148" s="34" t="n">
        <v>110</v>
      </c>
      <c r="O148" s="34" t="n">
        <v>130</v>
      </c>
      <c r="P148" s="34" t="n">
        <v>60</v>
      </c>
      <c r="Q148" s="34" t="n">
        <f aca="false">SUM(K148:P148)</f>
        <v>525</v>
      </c>
      <c r="R148" s="40"/>
      <c r="S148" s="40"/>
      <c r="T148" s="34"/>
      <c r="U148" s="30" t="n">
        <v>1</v>
      </c>
      <c r="V148" s="16"/>
      <c r="W148" s="16"/>
    </row>
    <row r="149" customFormat="false" ht="16.5" hidden="false" customHeight="true" outlineLevel="0" collapsed="false">
      <c r="A149" s="31" t="n">
        <f aca="false">A148+1</f>
        <v>148</v>
      </c>
      <c r="B149" s="30" t="s">
        <v>688</v>
      </c>
      <c r="C149" s="30" t="s">
        <v>337</v>
      </c>
      <c r="D149" s="30" t="s">
        <v>306</v>
      </c>
      <c r="E149" s="30"/>
      <c r="F149" s="30" t="s">
        <v>372</v>
      </c>
      <c r="G149" s="28" t="s">
        <v>286</v>
      </c>
      <c r="H149" s="30" t="s">
        <v>374</v>
      </c>
      <c r="I149" s="28" t="s">
        <v>286</v>
      </c>
      <c r="J149" s="30" t="s">
        <v>375</v>
      </c>
      <c r="K149" s="34" t="n">
        <v>65</v>
      </c>
      <c r="L149" s="34" t="n">
        <v>60</v>
      </c>
      <c r="M149" s="34" t="n">
        <v>70</v>
      </c>
      <c r="N149" s="34" t="n">
        <v>85</v>
      </c>
      <c r="O149" s="34" t="n">
        <v>75</v>
      </c>
      <c r="P149" s="34" t="n">
        <v>40</v>
      </c>
      <c r="Q149" s="34" t="n">
        <f aca="false">SUM(K149:P149)</f>
        <v>395</v>
      </c>
      <c r="R149" s="39" t="s">
        <v>123</v>
      </c>
      <c r="S149" s="40"/>
      <c r="T149" s="34"/>
      <c r="U149" s="30"/>
      <c r="V149" s="16"/>
      <c r="W149" s="16"/>
    </row>
    <row r="150" customFormat="false" ht="16.5" hidden="false" customHeight="true" outlineLevel="0" collapsed="false">
      <c r="A150" s="31" t="n">
        <f aca="false">A149+1</f>
        <v>149</v>
      </c>
      <c r="B150" s="30" t="s">
        <v>689</v>
      </c>
      <c r="C150" s="30" t="s">
        <v>337</v>
      </c>
      <c r="D150" s="30" t="s">
        <v>306</v>
      </c>
      <c r="E150" s="30"/>
      <c r="F150" s="30" t="s">
        <v>629</v>
      </c>
      <c r="G150" s="28" t="s">
        <v>286</v>
      </c>
      <c r="H150" s="30" t="s">
        <v>374</v>
      </c>
      <c r="I150" s="28" t="s">
        <v>286</v>
      </c>
      <c r="J150" s="30" t="s">
        <v>618</v>
      </c>
      <c r="K150" s="34" t="n">
        <v>85</v>
      </c>
      <c r="L150" s="34" t="n">
        <v>80</v>
      </c>
      <c r="M150" s="34" t="n">
        <v>90</v>
      </c>
      <c r="N150" s="34" t="n">
        <v>105</v>
      </c>
      <c r="O150" s="34" t="n">
        <v>95</v>
      </c>
      <c r="P150" s="34" t="n">
        <v>60</v>
      </c>
      <c r="Q150" s="34" t="n">
        <f aca="false">SUM(K150:P150)</f>
        <v>515</v>
      </c>
      <c r="R150" s="39" t="s">
        <v>123</v>
      </c>
      <c r="S150" s="40"/>
      <c r="T150" s="34"/>
      <c r="U150" s="30"/>
      <c r="V150" s="16"/>
      <c r="W150" s="16"/>
    </row>
    <row r="151" customFormat="false" ht="16.5" hidden="false" customHeight="true" outlineLevel="0" collapsed="false">
      <c r="A151" s="31" t="n">
        <f aca="false">A150+1</f>
        <v>150</v>
      </c>
      <c r="B151" s="30" t="s">
        <v>690</v>
      </c>
      <c r="C151" s="30" t="s">
        <v>337</v>
      </c>
      <c r="D151" s="30" t="s">
        <v>306</v>
      </c>
      <c r="E151" s="30" t="s">
        <v>691</v>
      </c>
      <c r="F151" s="30" t="s">
        <v>629</v>
      </c>
      <c r="G151" s="28" t="s">
        <v>286</v>
      </c>
      <c r="H151" s="30" t="s">
        <v>374</v>
      </c>
      <c r="I151" s="28" t="s">
        <v>286</v>
      </c>
      <c r="J151" s="30" t="s">
        <v>618</v>
      </c>
      <c r="K151" s="34" t="n">
        <v>85</v>
      </c>
      <c r="L151" s="34" t="n">
        <v>80</v>
      </c>
      <c r="M151" s="34" t="n">
        <v>70</v>
      </c>
      <c r="N151" s="34" t="n">
        <v>135</v>
      </c>
      <c r="O151" s="34" t="n">
        <v>75</v>
      </c>
      <c r="P151" s="34" t="n">
        <v>90</v>
      </c>
      <c r="Q151" s="34" t="n">
        <f aca="false">SUM(K151:P151)</f>
        <v>535</v>
      </c>
      <c r="R151" s="16"/>
      <c r="S151" s="40"/>
      <c r="T151" s="34"/>
      <c r="U151" s="30" t="n">
        <v>1</v>
      </c>
      <c r="V151" s="16"/>
      <c r="W151" s="16"/>
    </row>
    <row r="152" customFormat="false" ht="16.5" hidden="false" customHeight="true" outlineLevel="0" collapsed="false">
      <c r="A152" s="31" t="n">
        <f aca="false">A151+1</f>
        <v>151</v>
      </c>
      <c r="B152" s="30" t="s">
        <v>692</v>
      </c>
      <c r="C152" s="30" t="s">
        <v>306</v>
      </c>
      <c r="D152" s="30" t="s">
        <v>283</v>
      </c>
      <c r="E152" s="30"/>
      <c r="F152" s="30" t="s">
        <v>528</v>
      </c>
      <c r="G152" s="28" t="s">
        <v>286</v>
      </c>
      <c r="H152" s="30" t="s">
        <v>531</v>
      </c>
      <c r="I152" s="28" t="s">
        <v>286</v>
      </c>
      <c r="J152" s="30" t="s">
        <v>532</v>
      </c>
      <c r="K152" s="34" t="n">
        <v>35</v>
      </c>
      <c r="L152" s="34" t="n">
        <v>40</v>
      </c>
      <c r="M152" s="34" t="n">
        <v>100</v>
      </c>
      <c r="N152" s="34" t="n">
        <v>90</v>
      </c>
      <c r="O152" s="34" t="n">
        <v>55</v>
      </c>
      <c r="P152" s="34" t="n">
        <v>35</v>
      </c>
      <c r="Q152" s="34" t="n">
        <f aca="false">SUM(K152:P152)</f>
        <v>355</v>
      </c>
      <c r="R152" s="34" t="n">
        <v>40</v>
      </c>
      <c r="S152" s="40"/>
      <c r="T152" s="34"/>
      <c r="U152" s="30"/>
      <c r="V152" s="16"/>
      <c r="W152" s="16"/>
    </row>
    <row r="153" customFormat="false" ht="16.5" hidden="false" customHeight="true" outlineLevel="0" collapsed="false">
      <c r="A153" s="31" t="n">
        <f aca="false">A152+1</f>
        <v>152</v>
      </c>
      <c r="B153" s="30" t="s">
        <v>693</v>
      </c>
      <c r="C153" s="30" t="s">
        <v>306</v>
      </c>
      <c r="D153" s="30" t="s">
        <v>283</v>
      </c>
      <c r="E153" s="30" t="s">
        <v>694</v>
      </c>
      <c r="F153" s="30" t="s">
        <v>532</v>
      </c>
      <c r="G153" s="30" t="s">
        <v>286</v>
      </c>
      <c r="H153" s="30" t="s">
        <v>531</v>
      </c>
      <c r="I153" s="28" t="s">
        <v>536</v>
      </c>
      <c r="J153" s="30" t="s">
        <v>537</v>
      </c>
      <c r="K153" s="34" t="n">
        <v>70</v>
      </c>
      <c r="L153" s="34" t="n">
        <v>60</v>
      </c>
      <c r="M153" s="34" t="n">
        <v>125</v>
      </c>
      <c r="N153" s="34" t="n">
        <v>115</v>
      </c>
      <c r="O153" s="34" t="n">
        <v>70</v>
      </c>
      <c r="P153" s="34" t="n">
        <v>55</v>
      </c>
      <c r="Q153" s="34" t="n">
        <f aca="false">SUM(K153:P153)</f>
        <v>495</v>
      </c>
      <c r="R153" s="16"/>
      <c r="S153" s="40"/>
      <c r="T153" s="34"/>
      <c r="U153" s="30" t="n">
        <v>1</v>
      </c>
      <c r="V153" s="16"/>
      <c r="W153" s="16"/>
    </row>
    <row r="154" customFormat="false" ht="16.5" hidden="false" customHeight="true" outlineLevel="0" collapsed="false">
      <c r="A154" s="31" t="n">
        <f aca="false">A153+1</f>
        <v>153</v>
      </c>
      <c r="B154" s="30" t="s">
        <v>695</v>
      </c>
      <c r="C154" s="30" t="s">
        <v>306</v>
      </c>
      <c r="D154" s="30" t="s">
        <v>283</v>
      </c>
      <c r="E154" s="30"/>
      <c r="F154" s="30" t="s">
        <v>528</v>
      </c>
      <c r="G154" s="28" t="s">
        <v>286</v>
      </c>
      <c r="H154" s="30" t="s">
        <v>531</v>
      </c>
      <c r="I154" s="28" t="s">
        <v>286</v>
      </c>
      <c r="J154" s="30" t="s">
        <v>532</v>
      </c>
      <c r="K154" s="34" t="n">
        <v>30</v>
      </c>
      <c r="L154" s="34" t="n">
        <v>80</v>
      </c>
      <c r="M154" s="34" t="n">
        <v>90</v>
      </c>
      <c r="N154" s="34" t="n">
        <v>55</v>
      </c>
      <c r="O154" s="34" t="n">
        <v>45</v>
      </c>
      <c r="P154" s="34" t="n">
        <v>55</v>
      </c>
      <c r="Q154" s="34" t="n">
        <f aca="false">SUM(K154:P154)</f>
        <v>355</v>
      </c>
      <c r="R154" s="34" t="n">
        <v>40</v>
      </c>
      <c r="S154" s="40"/>
      <c r="T154" s="34"/>
      <c r="U154" s="30"/>
      <c r="V154" s="16"/>
      <c r="W154" s="16"/>
    </row>
    <row r="155" customFormat="false" ht="16.5" hidden="false" customHeight="true" outlineLevel="0" collapsed="false">
      <c r="A155" s="31" t="n">
        <f aca="false">A154+1</f>
        <v>154</v>
      </c>
      <c r="B155" s="30" t="s">
        <v>696</v>
      </c>
      <c r="C155" s="30" t="s">
        <v>306</v>
      </c>
      <c r="D155" s="30" t="s">
        <v>283</v>
      </c>
      <c r="E155" s="30" t="s">
        <v>694</v>
      </c>
      <c r="F155" s="30" t="s">
        <v>532</v>
      </c>
      <c r="G155" s="30" t="s">
        <v>286</v>
      </c>
      <c r="H155" s="30" t="s">
        <v>531</v>
      </c>
      <c r="I155" s="28" t="s">
        <v>536</v>
      </c>
      <c r="J155" s="30" t="s">
        <v>537</v>
      </c>
      <c r="K155" s="34" t="n">
        <v>60</v>
      </c>
      <c r="L155" s="34" t="n">
        <v>115</v>
      </c>
      <c r="M155" s="34" t="n">
        <v>105</v>
      </c>
      <c r="N155" s="34" t="n">
        <v>65</v>
      </c>
      <c r="O155" s="34" t="n">
        <v>70</v>
      </c>
      <c r="P155" s="34" t="n">
        <v>80</v>
      </c>
      <c r="Q155" s="34" t="n">
        <f aca="false">SUM(K155:P155)</f>
        <v>495</v>
      </c>
      <c r="R155" s="16"/>
      <c r="S155" s="40"/>
      <c r="T155" s="34"/>
      <c r="U155" s="30" t="n">
        <v>1</v>
      </c>
      <c r="V155" s="16"/>
      <c r="W155" s="16"/>
    </row>
    <row r="156" customFormat="false" ht="16.5" hidden="false" customHeight="true" outlineLevel="0" collapsed="false">
      <c r="A156" s="31" t="n">
        <f aca="false">A155+1</f>
        <v>155</v>
      </c>
      <c r="B156" s="30" t="s">
        <v>697</v>
      </c>
      <c r="C156" s="30" t="s">
        <v>337</v>
      </c>
      <c r="D156" s="30" t="s">
        <v>301</v>
      </c>
      <c r="E156" s="30"/>
      <c r="F156" s="30" t="s">
        <v>698</v>
      </c>
      <c r="G156" s="28" t="s">
        <v>286</v>
      </c>
      <c r="H156" s="30" t="s">
        <v>699</v>
      </c>
      <c r="I156" s="28" t="s">
        <v>286</v>
      </c>
      <c r="J156" s="30" t="s">
        <v>700</v>
      </c>
      <c r="K156" s="34" t="n">
        <v>80</v>
      </c>
      <c r="L156" s="34" t="n">
        <v>105</v>
      </c>
      <c r="M156" s="34" t="n">
        <v>65</v>
      </c>
      <c r="N156" s="34" t="n">
        <v>60</v>
      </c>
      <c r="O156" s="34" t="n">
        <v>75</v>
      </c>
      <c r="P156" s="34" t="n">
        <v>130</v>
      </c>
      <c r="Q156" s="34" t="n">
        <f aca="false">SUM(K156:P156)</f>
        <v>515</v>
      </c>
      <c r="R156" s="40"/>
      <c r="S156" s="40"/>
      <c r="T156" s="34"/>
      <c r="U156" s="30" t="n">
        <v>1</v>
      </c>
      <c r="V156" s="16"/>
      <c r="W156" s="16"/>
    </row>
    <row r="157" customFormat="false" ht="48.75" hidden="false" customHeight="true" outlineLevel="0" collapsed="false">
      <c r="A157" s="31" t="n">
        <f aca="false">A156+1</f>
        <v>156</v>
      </c>
      <c r="B157" s="30" t="s">
        <v>701</v>
      </c>
      <c r="C157" s="30" t="s">
        <v>337</v>
      </c>
      <c r="D157" s="30" t="s">
        <v>306</v>
      </c>
      <c r="E157" s="30"/>
      <c r="F157" s="30" t="s">
        <v>629</v>
      </c>
      <c r="G157" s="28" t="s">
        <v>286</v>
      </c>
      <c r="H157" s="30" t="s">
        <v>374</v>
      </c>
      <c r="I157" s="28" t="s">
        <v>286</v>
      </c>
      <c r="J157" s="30" t="s">
        <v>662</v>
      </c>
      <c r="K157" s="34" t="n">
        <v>160</v>
      </c>
      <c r="L157" s="34" t="n">
        <v>110</v>
      </c>
      <c r="M157" s="34" t="n">
        <v>65</v>
      </c>
      <c r="N157" s="34" t="n">
        <v>65</v>
      </c>
      <c r="O157" s="34" t="n">
        <v>110</v>
      </c>
      <c r="P157" s="34" t="n">
        <v>30</v>
      </c>
      <c r="Q157" s="34" t="n">
        <f aca="false">SUM(K157:P157)</f>
        <v>540</v>
      </c>
      <c r="R157" s="40"/>
      <c r="S157" s="40" t="s">
        <v>702</v>
      </c>
      <c r="T157" s="30"/>
      <c r="U157" s="30" t="n">
        <v>1</v>
      </c>
      <c r="V157" s="16"/>
      <c r="W157" s="16"/>
    </row>
    <row r="158" customFormat="false" ht="16.5" hidden="false" customHeight="true" outlineLevel="0" collapsed="false">
      <c r="A158" s="31" t="n">
        <f aca="false">A157+1</f>
        <v>157</v>
      </c>
      <c r="B158" s="30" t="s">
        <v>703</v>
      </c>
      <c r="C158" s="30" t="s">
        <v>293</v>
      </c>
      <c r="D158" s="30" t="s">
        <v>328</v>
      </c>
      <c r="E158" s="30"/>
      <c r="F158" s="30" t="s">
        <v>581</v>
      </c>
      <c r="G158" s="28" t="s">
        <v>286</v>
      </c>
      <c r="H158" s="30" t="s">
        <v>572</v>
      </c>
      <c r="I158" s="28" t="s">
        <v>286</v>
      </c>
      <c r="J158" s="30" t="s">
        <v>573</v>
      </c>
      <c r="K158" s="34" t="n">
        <v>90</v>
      </c>
      <c r="L158" s="34" t="n">
        <v>85</v>
      </c>
      <c r="M158" s="34" t="n">
        <v>100</v>
      </c>
      <c r="N158" s="34" t="n">
        <v>95</v>
      </c>
      <c r="O158" s="34" t="n">
        <v>125</v>
      </c>
      <c r="P158" s="34" t="n">
        <v>85</v>
      </c>
      <c r="Q158" s="34" t="n">
        <f aca="false">SUM(K158:P158)</f>
        <v>580</v>
      </c>
      <c r="R158" s="40"/>
      <c r="S158" s="39" t="s">
        <v>568</v>
      </c>
      <c r="T158" s="30"/>
      <c r="U158" s="30" t="n">
        <v>1</v>
      </c>
      <c r="V158" s="16"/>
      <c r="W158" s="16"/>
    </row>
    <row r="159" customFormat="false" ht="27.75" hidden="false" customHeight="true" outlineLevel="0" collapsed="false">
      <c r="A159" s="31" t="n">
        <f aca="false">A158+1</f>
        <v>158</v>
      </c>
      <c r="B159" s="30" t="s">
        <v>704</v>
      </c>
      <c r="C159" s="30" t="s">
        <v>301</v>
      </c>
      <c r="D159" s="30" t="s">
        <v>306</v>
      </c>
      <c r="E159" s="30"/>
      <c r="F159" s="30" t="s">
        <v>400</v>
      </c>
      <c r="G159" s="28" t="s">
        <v>286</v>
      </c>
      <c r="H159" s="28" t="s">
        <v>401</v>
      </c>
      <c r="I159" s="28" t="s">
        <v>286</v>
      </c>
      <c r="J159" s="30" t="s">
        <v>402</v>
      </c>
      <c r="K159" s="34" t="n">
        <v>90</v>
      </c>
      <c r="L159" s="34" t="n">
        <v>90</v>
      </c>
      <c r="M159" s="34" t="n">
        <v>85</v>
      </c>
      <c r="N159" s="34" t="n">
        <v>125</v>
      </c>
      <c r="O159" s="34" t="n">
        <v>90</v>
      </c>
      <c r="P159" s="34" t="n">
        <v>100</v>
      </c>
      <c r="Q159" s="34" t="n">
        <f aca="false">SUM(K159:P159)</f>
        <v>580</v>
      </c>
      <c r="R159" s="40"/>
      <c r="S159" s="39" t="s">
        <v>550</v>
      </c>
      <c r="T159" s="30"/>
      <c r="U159" s="30" t="n">
        <v>1</v>
      </c>
      <c r="V159" s="16"/>
      <c r="W159" s="16"/>
    </row>
    <row r="160" customFormat="false" ht="27.75" hidden="false" customHeight="true" outlineLevel="0" collapsed="false">
      <c r="A160" s="31" t="n">
        <f aca="false">A159+1</f>
        <v>159</v>
      </c>
      <c r="B160" s="30" t="s">
        <v>705</v>
      </c>
      <c r="C160" s="30" t="s">
        <v>284</v>
      </c>
      <c r="D160" s="30" t="s">
        <v>293</v>
      </c>
      <c r="E160" s="30"/>
      <c r="F160" s="30" t="s">
        <v>309</v>
      </c>
      <c r="G160" s="28" t="s">
        <v>286</v>
      </c>
      <c r="H160" s="30" t="s">
        <v>310</v>
      </c>
      <c r="I160" s="28" t="s">
        <v>286</v>
      </c>
      <c r="J160" s="30" t="s">
        <v>700</v>
      </c>
      <c r="K160" s="34" t="n">
        <v>90</v>
      </c>
      <c r="L160" s="34" t="n">
        <v>100</v>
      </c>
      <c r="M160" s="34" t="n">
        <v>90</v>
      </c>
      <c r="N160" s="34" t="n">
        <v>125</v>
      </c>
      <c r="O160" s="34" t="n">
        <v>85</v>
      </c>
      <c r="P160" s="34" t="n">
        <v>90</v>
      </c>
      <c r="Q160" s="34" t="n">
        <f aca="false">SUM(K160:P160)</f>
        <v>580</v>
      </c>
      <c r="R160" s="40"/>
      <c r="S160" s="39" t="s">
        <v>513</v>
      </c>
      <c r="T160" s="30"/>
      <c r="U160" s="30" t="n">
        <v>1</v>
      </c>
      <c r="V160" s="16"/>
      <c r="W160" s="16"/>
    </row>
    <row r="161" customFormat="false" ht="16.5" hidden="false" customHeight="true" outlineLevel="0" collapsed="false">
      <c r="A161" s="31" t="n">
        <f aca="false">A160+1</f>
        <v>160</v>
      </c>
      <c r="B161" s="30" t="s">
        <v>706</v>
      </c>
      <c r="C161" s="30" t="s">
        <v>334</v>
      </c>
      <c r="D161" s="30" t="s">
        <v>322</v>
      </c>
      <c r="E161" s="30"/>
      <c r="F161" s="30" t="s">
        <v>707</v>
      </c>
      <c r="G161" s="28" t="s">
        <v>286</v>
      </c>
      <c r="H161" s="30" t="s">
        <v>708</v>
      </c>
      <c r="I161" s="28" t="s">
        <v>286</v>
      </c>
      <c r="J161" s="30" t="s">
        <v>709</v>
      </c>
      <c r="K161" s="34" t="n">
        <v>41</v>
      </c>
      <c r="L161" s="34" t="n">
        <v>64</v>
      </c>
      <c r="M161" s="34" t="n">
        <v>45</v>
      </c>
      <c r="N161" s="34" t="n">
        <v>50</v>
      </c>
      <c r="O161" s="34" t="n">
        <v>50</v>
      </c>
      <c r="P161" s="34" t="n">
        <v>50</v>
      </c>
      <c r="Q161" s="34" t="n">
        <f aca="false">SUM(K161:P161)</f>
        <v>300</v>
      </c>
      <c r="R161" s="34" t="n">
        <v>30</v>
      </c>
      <c r="S161" s="39" t="s">
        <v>710</v>
      </c>
      <c r="T161" s="30"/>
      <c r="U161" s="30"/>
      <c r="V161" s="16"/>
      <c r="W161" s="16"/>
    </row>
    <row r="162" customFormat="false" ht="16.5" hidden="false" customHeight="true" outlineLevel="0" collapsed="false">
      <c r="A162" s="31" t="n">
        <f aca="false">A161+1</f>
        <v>161</v>
      </c>
      <c r="B162" s="30" t="s">
        <v>711</v>
      </c>
      <c r="C162" s="30" t="s">
        <v>334</v>
      </c>
      <c r="D162" s="30" t="s">
        <v>322</v>
      </c>
      <c r="E162" s="30"/>
      <c r="F162" s="30" t="s">
        <v>712</v>
      </c>
      <c r="G162" s="28" t="s">
        <v>286</v>
      </c>
      <c r="H162" s="30" t="s">
        <v>713</v>
      </c>
      <c r="I162" s="28" t="s">
        <v>286</v>
      </c>
      <c r="J162" s="30" t="s">
        <v>714</v>
      </c>
      <c r="K162" s="34" t="n">
        <v>61</v>
      </c>
      <c r="L162" s="34" t="n">
        <v>84</v>
      </c>
      <c r="M162" s="34" t="n">
        <v>65</v>
      </c>
      <c r="N162" s="34" t="n">
        <v>70</v>
      </c>
      <c r="O162" s="34" t="n">
        <v>70</v>
      </c>
      <c r="P162" s="34" t="n">
        <v>70</v>
      </c>
      <c r="Q162" s="34" t="n">
        <f aca="false">SUM(K162:P162)</f>
        <v>420</v>
      </c>
      <c r="R162" s="34" t="n">
        <v>55</v>
      </c>
      <c r="S162" s="39" t="s">
        <v>710</v>
      </c>
      <c r="T162" s="30"/>
      <c r="U162" s="30"/>
      <c r="V162" s="16"/>
      <c r="W162" s="16"/>
    </row>
    <row r="163" customFormat="false" ht="16.5" hidden="false" customHeight="true" outlineLevel="0" collapsed="false">
      <c r="A163" s="31" t="n">
        <f aca="false">A162+1</f>
        <v>162</v>
      </c>
      <c r="B163" s="30" t="s">
        <v>715</v>
      </c>
      <c r="C163" s="30" t="s">
        <v>334</v>
      </c>
      <c r="D163" s="30" t="s">
        <v>322</v>
      </c>
      <c r="E163" s="30"/>
      <c r="F163" s="30" t="s">
        <v>712</v>
      </c>
      <c r="G163" s="28" t="s">
        <v>286</v>
      </c>
      <c r="H163" s="30" t="s">
        <v>713</v>
      </c>
      <c r="I163" s="28" t="s">
        <v>286</v>
      </c>
      <c r="J163" s="30" t="s">
        <v>716</v>
      </c>
      <c r="K163" s="34" t="n">
        <v>91</v>
      </c>
      <c r="L163" s="34" t="n">
        <v>134</v>
      </c>
      <c r="M163" s="34" t="n">
        <v>95</v>
      </c>
      <c r="N163" s="34" t="n">
        <v>100</v>
      </c>
      <c r="O163" s="34" t="n">
        <v>100</v>
      </c>
      <c r="P163" s="34" t="n">
        <v>80</v>
      </c>
      <c r="Q163" s="34" t="n">
        <f aca="false">SUM(K163:P163)</f>
        <v>600</v>
      </c>
      <c r="R163" s="16"/>
      <c r="S163" s="40"/>
      <c r="T163" s="30"/>
      <c r="U163" s="30" t="n">
        <v>1</v>
      </c>
      <c r="V163" s="16"/>
      <c r="W163" s="16"/>
    </row>
    <row r="164" customFormat="false" ht="16.5" hidden="false" customHeight="true" outlineLevel="0" collapsed="false">
      <c r="A164" s="31" t="n">
        <f aca="false">A163+1</f>
        <v>163</v>
      </c>
      <c r="B164" s="30" t="s">
        <v>717</v>
      </c>
      <c r="C164" s="30" t="s">
        <v>312</v>
      </c>
      <c r="D164" s="30" t="s">
        <v>312</v>
      </c>
      <c r="E164" s="30"/>
      <c r="F164" s="30" t="s">
        <v>508</v>
      </c>
      <c r="G164" s="28" t="s">
        <v>286</v>
      </c>
      <c r="H164" s="30" t="s">
        <v>504</v>
      </c>
      <c r="I164" s="28" t="s">
        <v>286</v>
      </c>
      <c r="J164" s="30" t="s">
        <v>718</v>
      </c>
      <c r="K164" s="34" t="n">
        <v>106</v>
      </c>
      <c r="L164" s="34" t="n">
        <v>110</v>
      </c>
      <c r="M164" s="34" t="n">
        <v>90</v>
      </c>
      <c r="N164" s="34" t="n">
        <v>154</v>
      </c>
      <c r="O164" s="34" t="n">
        <v>90</v>
      </c>
      <c r="P164" s="34" t="n">
        <v>130</v>
      </c>
      <c r="Q164" s="34" t="n">
        <f aca="false">SUM(K164:P164)</f>
        <v>680</v>
      </c>
      <c r="R164" s="34"/>
      <c r="S164" s="39" t="s">
        <v>719</v>
      </c>
      <c r="T164" s="30"/>
      <c r="U164" s="30" t="n">
        <v>1</v>
      </c>
      <c r="V164" s="16"/>
      <c r="W164" s="16"/>
      <c r="X164" s="38"/>
    </row>
    <row r="165" customFormat="false" ht="16.5" hidden="false" customHeight="true" outlineLevel="0" collapsed="false">
      <c r="A165" s="31" t="n">
        <f aca="false">A164+1</f>
        <v>164</v>
      </c>
      <c r="B165" s="30" t="s">
        <v>720</v>
      </c>
      <c r="C165" s="30" t="s">
        <v>312</v>
      </c>
      <c r="D165" s="30" t="s">
        <v>312</v>
      </c>
      <c r="E165" s="30"/>
      <c r="F165" s="30" t="s">
        <v>508</v>
      </c>
      <c r="G165" s="28" t="s">
        <v>286</v>
      </c>
      <c r="H165" s="30" t="s">
        <v>504</v>
      </c>
      <c r="I165" s="28" t="s">
        <v>286</v>
      </c>
      <c r="J165" s="30" t="s">
        <v>509</v>
      </c>
      <c r="K165" s="34" t="n">
        <v>100</v>
      </c>
      <c r="L165" s="34" t="n">
        <v>100</v>
      </c>
      <c r="M165" s="34" t="n">
        <v>100</v>
      </c>
      <c r="N165" s="34" t="n">
        <v>100</v>
      </c>
      <c r="O165" s="34" t="n">
        <v>100</v>
      </c>
      <c r="P165" s="34" t="n">
        <v>100</v>
      </c>
      <c r="Q165" s="34" t="n">
        <f aca="false">SUM(K165:P165)</f>
        <v>600</v>
      </c>
      <c r="R165" s="34"/>
      <c r="S165" s="39" t="s">
        <v>721</v>
      </c>
      <c r="T165" s="30"/>
      <c r="U165" s="30" t="n">
        <v>1</v>
      </c>
      <c r="V165" s="16"/>
      <c r="W165" s="16"/>
      <c r="X165" s="38"/>
    </row>
    <row r="166" customFormat="false" ht="16.5" hidden="false" customHeight="true" outlineLevel="0" collapsed="false">
      <c r="A166" s="31" t="n">
        <f aca="false">A165+1</f>
        <v>165</v>
      </c>
      <c r="B166" s="30" t="s">
        <v>722</v>
      </c>
      <c r="C166" s="30" t="s">
        <v>312</v>
      </c>
      <c r="D166" s="30" t="s">
        <v>312</v>
      </c>
      <c r="E166" s="30"/>
      <c r="F166" s="30" t="s">
        <v>508</v>
      </c>
      <c r="G166" s="28" t="s">
        <v>286</v>
      </c>
      <c r="H166" s="30" t="s">
        <v>504</v>
      </c>
      <c r="I166" s="28" t="s">
        <v>286</v>
      </c>
      <c r="J166" s="30" t="s">
        <v>723</v>
      </c>
      <c r="K166" s="30" t="n">
        <v>50</v>
      </c>
      <c r="L166" s="30" t="n">
        <v>150</v>
      </c>
      <c r="M166" s="30" t="n">
        <v>50</v>
      </c>
      <c r="N166" s="30" t="n">
        <v>150</v>
      </c>
      <c r="O166" s="30" t="n">
        <v>50</v>
      </c>
      <c r="P166" s="30" t="n">
        <v>150</v>
      </c>
      <c r="Q166" s="30" t="n">
        <f aca="false">SUM(K166:P166)</f>
        <v>600</v>
      </c>
      <c r="R166" s="30"/>
      <c r="S166" s="39" t="s">
        <v>721</v>
      </c>
      <c r="T166" s="30"/>
      <c r="U166" s="30" t="n">
        <v>1</v>
      </c>
      <c r="V166" s="16"/>
      <c r="W166" s="16"/>
    </row>
    <row r="167" customFormat="false" ht="13.5" hidden="false" customHeight="true" outlineLevel="0" collapsed="false">
      <c r="A167" s="31" t="n">
        <f aca="false">A166+1</f>
        <v>166</v>
      </c>
      <c r="B167" s="30" t="s">
        <v>724</v>
      </c>
      <c r="C167" s="30" t="s">
        <v>317</v>
      </c>
      <c r="D167" s="30" t="s">
        <v>306</v>
      </c>
      <c r="E167" s="30"/>
      <c r="F167" s="30" t="s">
        <v>725</v>
      </c>
      <c r="G167" s="28" t="s">
        <v>286</v>
      </c>
      <c r="H167" s="30" t="s">
        <v>726</v>
      </c>
      <c r="I167" s="28" t="s">
        <v>286</v>
      </c>
      <c r="J167" s="30" t="s">
        <v>727</v>
      </c>
      <c r="K167" s="30" t="n">
        <v>50</v>
      </c>
      <c r="L167" s="30" t="n">
        <v>64</v>
      </c>
      <c r="M167" s="30" t="n">
        <v>50</v>
      </c>
      <c r="N167" s="30" t="n">
        <v>45</v>
      </c>
      <c r="O167" s="30" t="n">
        <v>50</v>
      </c>
      <c r="P167" s="30" t="n">
        <v>41</v>
      </c>
      <c r="Q167" s="30" t="n">
        <f aca="false">SUM(K167:P167)</f>
        <v>300</v>
      </c>
      <c r="R167" s="30" t="n">
        <v>30</v>
      </c>
      <c r="S167" s="30" t="s">
        <v>728</v>
      </c>
      <c r="T167" s="30"/>
      <c r="U167" s="30"/>
      <c r="V167" s="16"/>
      <c r="W167" s="16"/>
    </row>
    <row r="168" customFormat="false" ht="13.5" hidden="false" customHeight="true" outlineLevel="0" collapsed="false">
      <c r="A168" s="31" t="n">
        <f aca="false">A167+1</f>
        <v>167</v>
      </c>
      <c r="B168" s="30" t="s">
        <v>729</v>
      </c>
      <c r="C168" s="30" t="s">
        <v>317</v>
      </c>
      <c r="D168" s="30" t="s">
        <v>306</v>
      </c>
      <c r="E168" s="30"/>
      <c r="F168" s="30" t="s">
        <v>682</v>
      </c>
      <c r="G168" s="28" t="s">
        <v>286</v>
      </c>
      <c r="H168" s="30" t="s">
        <v>683</v>
      </c>
      <c r="I168" s="28" t="s">
        <v>286</v>
      </c>
      <c r="J168" s="30" t="s">
        <v>730</v>
      </c>
      <c r="K168" s="30" t="n">
        <v>70</v>
      </c>
      <c r="L168" s="30" t="n">
        <v>84</v>
      </c>
      <c r="M168" s="30" t="n">
        <v>70</v>
      </c>
      <c r="N168" s="30" t="n">
        <v>65</v>
      </c>
      <c r="O168" s="30" t="n">
        <v>70</v>
      </c>
      <c r="P168" s="30" t="n">
        <v>51</v>
      </c>
      <c r="Q168" s="30" t="n">
        <f aca="false">SUM(K168:P168)</f>
        <v>410</v>
      </c>
      <c r="R168" s="30" t="n">
        <v>55</v>
      </c>
      <c r="S168" s="30" t="s">
        <v>728</v>
      </c>
      <c r="T168" s="30"/>
      <c r="U168" s="30"/>
      <c r="V168" s="16"/>
      <c r="W168" s="16"/>
    </row>
    <row r="169" customFormat="false" ht="13.5" hidden="false" customHeight="true" outlineLevel="0" collapsed="false">
      <c r="A169" s="31" t="n">
        <f aca="false">A168+1</f>
        <v>168</v>
      </c>
      <c r="B169" s="30" t="s">
        <v>731</v>
      </c>
      <c r="C169" s="30" t="s">
        <v>317</v>
      </c>
      <c r="D169" s="30" t="s">
        <v>306</v>
      </c>
      <c r="E169" s="30" t="s">
        <v>732</v>
      </c>
      <c r="F169" s="30" t="s">
        <v>682</v>
      </c>
      <c r="G169" s="28" t="s">
        <v>286</v>
      </c>
      <c r="H169" s="30" t="s">
        <v>683</v>
      </c>
      <c r="I169" s="28" t="s">
        <v>286</v>
      </c>
      <c r="J169" s="30" t="s">
        <v>532</v>
      </c>
      <c r="K169" s="30" t="n">
        <v>100</v>
      </c>
      <c r="L169" s="30" t="n">
        <v>134</v>
      </c>
      <c r="M169" s="30" t="n">
        <v>110</v>
      </c>
      <c r="N169" s="30" t="n">
        <v>95</v>
      </c>
      <c r="O169" s="30" t="n">
        <v>100</v>
      </c>
      <c r="P169" s="30" t="n">
        <v>61</v>
      </c>
      <c r="Q169" s="30" t="n">
        <f aca="false">SUM(K169:P169)</f>
        <v>600</v>
      </c>
      <c r="R169" s="30"/>
      <c r="S169" s="30" t="s">
        <v>728</v>
      </c>
      <c r="T169" s="30"/>
      <c r="U169" s="30" t="n">
        <v>1</v>
      </c>
      <c r="V169" s="16"/>
      <c r="W169" s="16"/>
    </row>
    <row r="170" customFormat="false" ht="13.5" hidden="false" customHeight="true" outlineLevel="0" collapsed="false">
      <c r="A170" s="31" t="n">
        <f aca="false">A169+1</f>
        <v>169</v>
      </c>
      <c r="B170" s="30" t="s">
        <v>733</v>
      </c>
      <c r="C170" s="30" t="s">
        <v>334</v>
      </c>
      <c r="D170" s="30" t="s">
        <v>322</v>
      </c>
      <c r="E170" s="30"/>
      <c r="F170" s="30" t="s">
        <v>707</v>
      </c>
      <c r="G170" s="28" t="s">
        <v>286</v>
      </c>
      <c r="H170" s="30" t="s">
        <v>708</v>
      </c>
      <c r="I170" s="28" t="s">
        <v>286</v>
      </c>
      <c r="J170" s="30" t="s">
        <v>709</v>
      </c>
      <c r="K170" s="30" t="n">
        <v>58</v>
      </c>
      <c r="L170" s="30" t="n">
        <v>70</v>
      </c>
      <c r="M170" s="30" t="n">
        <v>45</v>
      </c>
      <c r="N170" s="30" t="n">
        <v>40</v>
      </c>
      <c r="O170" s="30" t="n">
        <v>45</v>
      </c>
      <c r="P170" s="30" t="n">
        <v>42</v>
      </c>
      <c r="Q170" s="30" t="n">
        <f aca="false">SUM(K170:P170)</f>
        <v>300</v>
      </c>
      <c r="R170" s="30" t="n">
        <v>24</v>
      </c>
      <c r="S170" s="30" t="s">
        <v>734</v>
      </c>
      <c r="T170" s="30"/>
      <c r="U170" s="30"/>
      <c r="V170" s="16"/>
      <c r="W170" s="16"/>
    </row>
    <row r="171" customFormat="false" ht="13.5" hidden="false" customHeight="true" outlineLevel="0" collapsed="false">
      <c r="A171" s="31" t="n">
        <f aca="false">A170+1</f>
        <v>170</v>
      </c>
      <c r="B171" s="30" t="s">
        <v>735</v>
      </c>
      <c r="C171" s="30" t="s">
        <v>334</v>
      </c>
      <c r="D171" s="30" t="s">
        <v>322</v>
      </c>
      <c r="E171" s="30"/>
      <c r="F171" s="30" t="s">
        <v>712</v>
      </c>
      <c r="G171" s="28" t="s">
        <v>286</v>
      </c>
      <c r="H171" s="30" t="s">
        <v>713</v>
      </c>
      <c r="I171" s="28" t="s">
        <v>286</v>
      </c>
      <c r="J171" s="30" t="s">
        <v>714</v>
      </c>
      <c r="K171" s="30" t="n">
        <v>68</v>
      </c>
      <c r="L171" s="30" t="n">
        <v>90</v>
      </c>
      <c r="M171" s="30" t="n">
        <v>65</v>
      </c>
      <c r="N171" s="30" t="n">
        <v>50</v>
      </c>
      <c r="O171" s="30" t="n">
        <v>55</v>
      </c>
      <c r="P171" s="30" t="n">
        <v>82</v>
      </c>
      <c r="Q171" s="30" t="n">
        <f aca="false">SUM(K171:P171)</f>
        <v>410</v>
      </c>
      <c r="R171" s="30" t="n">
        <v>48</v>
      </c>
      <c r="S171" s="30"/>
      <c r="T171" s="30"/>
      <c r="U171" s="30"/>
      <c r="V171" s="16"/>
      <c r="W171" s="16"/>
    </row>
    <row r="172" customFormat="false" ht="16.5" hidden="false" customHeight="true" outlineLevel="0" collapsed="false">
      <c r="A172" s="31" t="n">
        <f aca="false">A171+1</f>
        <v>171</v>
      </c>
      <c r="B172" s="30" t="s">
        <v>736</v>
      </c>
      <c r="C172" s="30" t="s">
        <v>334</v>
      </c>
      <c r="D172" s="30" t="s">
        <v>322</v>
      </c>
      <c r="E172" s="30" t="s">
        <v>535</v>
      </c>
      <c r="F172" s="30" t="s">
        <v>712</v>
      </c>
      <c r="G172" s="28" t="s">
        <v>286</v>
      </c>
      <c r="H172" s="30" t="s">
        <v>713</v>
      </c>
      <c r="I172" s="28" t="s">
        <v>286</v>
      </c>
      <c r="J172" s="30" t="s">
        <v>716</v>
      </c>
      <c r="K172" s="30" t="n">
        <v>108</v>
      </c>
      <c r="L172" s="30" t="n">
        <v>130</v>
      </c>
      <c r="M172" s="30" t="n">
        <v>95</v>
      </c>
      <c r="N172" s="30" t="n">
        <v>80</v>
      </c>
      <c r="O172" s="30" t="n">
        <v>85</v>
      </c>
      <c r="P172" s="30" t="n">
        <v>102</v>
      </c>
      <c r="Q172" s="30" t="n">
        <f aca="false">SUM(K172:P172)</f>
        <v>600</v>
      </c>
      <c r="R172" s="30"/>
      <c r="S172" s="30"/>
      <c r="T172" s="30"/>
      <c r="U172" s="30" t="n">
        <v>1</v>
      </c>
      <c r="V172" s="16"/>
      <c r="W172" s="16"/>
    </row>
    <row r="173" customFormat="false" ht="13.5" hidden="false" customHeight="true" outlineLevel="0" collapsed="false">
      <c r="A173" s="31" t="n">
        <f aca="false">A172+1</f>
        <v>172</v>
      </c>
      <c r="B173" s="30" t="s">
        <v>737</v>
      </c>
      <c r="C173" s="30" t="s">
        <v>334</v>
      </c>
      <c r="D173" s="30" t="s">
        <v>322</v>
      </c>
      <c r="E173" s="30"/>
      <c r="F173" s="30" t="s">
        <v>707</v>
      </c>
      <c r="G173" s="28" t="s">
        <v>286</v>
      </c>
      <c r="H173" s="30" t="s">
        <v>708</v>
      </c>
      <c r="I173" s="28" t="s">
        <v>286</v>
      </c>
      <c r="J173" s="30" t="s">
        <v>709</v>
      </c>
      <c r="K173" s="30" t="n">
        <v>45</v>
      </c>
      <c r="L173" s="30" t="n">
        <v>75</v>
      </c>
      <c r="M173" s="30" t="n">
        <v>60</v>
      </c>
      <c r="N173" s="30" t="n">
        <v>40</v>
      </c>
      <c r="O173" s="30" t="n">
        <v>30</v>
      </c>
      <c r="P173" s="30" t="n">
        <v>50</v>
      </c>
      <c r="Q173" s="30" t="n">
        <f aca="false">SUM(K173:P173)</f>
        <v>300</v>
      </c>
      <c r="R173" s="30" t="n">
        <v>30</v>
      </c>
      <c r="S173" s="30" t="s">
        <v>738</v>
      </c>
      <c r="T173" s="30"/>
      <c r="U173" s="30"/>
      <c r="V173" s="16"/>
      <c r="W173" s="16"/>
    </row>
    <row r="174" customFormat="false" ht="16.5" hidden="false" customHeight="true" outlineLevel="0" collapsed="false">
      <c r="A174" s="31" t="n">
        <f aca="false">A173+1</f>
        <v>173</v>
      </c>
      <c r="B174" s="30" t="s">
        <v>739</v>
      </c>
      <c r="C174" s="30" t="s">
        <v>334</v>
      </c>
      <c r="D174" s="30" t="s">
        <v>322</v>
      </c>
      <c r="E174" s="30"/>
      <c r="F174" s="30" t="s">
        <v>712</v>
      </c>
      <c r="G174" s="28" t="s">
        <v>286</v>
      </c>
      <c r="H174" s="30" t="s">
        <v>713</v>
      </c>
      <c r="I174" s="28" t="s">
        <v>286</v>
      </c>
      <c r="J174" s="30" t="s">
        <v>714</v>
      </c>
      <c r="K174" s="30" t="n">
        <v>65</v>
      </c>
      <c r="L174" s="30" t="n">
        <v>95</v>
      </c>
      <c r="M174" s="30" t="n">
        <v>100</v>
      </c>
      <c r="N174" s="30" t="n">
        <v>60</v>
      </c>
      <c r="O174" s="30" t="n">
        <v>50</v>
      </c>
      <c r="P174" s="30" t="n">
        <v>50</v>
      </c>
      <c r="Q174" s="30" t="n">
        <f aca="false">SUM(K174:P174)</f>
        <v>420</v>
      </c>
      <c r="R174" s="30" t="n">
        <v>50</v>
      </c>
      <c r="S174" s="30"/>
      <c r="T174" s="30"/>
      <c r="U174" s="30"/>
      <c r="V174" s="16"/>
      <c r="W174" s="16"/>
    </row>
    <row r="175" customFormat="false" ht="13.5" hidden="false" customHeight="true" outlineLevel="0" collapsed="false">
      <c r="A175" s="31" t="n">
        <f aca="false">A174+1</f>
        <v>174</v>
      </c>
      <c r="B175" s="30" t="s">
        <v>740</v>
      </c>
      <c r="C175" s="30" t="s">
        <v>334</v>
      </c>
      <c r="D175" s="30" t="s">
        <v>322</v>
      </c>
      <c r="E175" s="30"/>
      <c r="F175" s="30" t="s">
        <v>712</v>
      </c>
      <c r="G175" s="28" t="s">
        <v>286</v>
      </c>
      <c r="H175" s="30" t="s">
        <v>713</v>
      </c>
      <c r="I175" s="28" t="s">
        <v>286</v>
      </c>
      <c r="J175" s="30" t="s">
        <v>714</v>
      </c>
      <c r="K175" s="30" t="n">
        <v>95</v>
      </c>
      <c r="L175" s="30" t="n">
        <v>135</v>
      </c>
      <c r="M175" s="30" t="n">
        <v>80</v>
      </c>
      <c r="N175" s="30" t="n">
        <v>110</v>
      </c>
      <c r="O175" s="30" t="n">
        <v>80</v>
      </c>
      <c r="P175" s="30" t="n">
        <v>100</v>
      </c>
      <c r="Q175" s="30" t="n">
        <f aca="false">SUM(K175:P175)</f>
        <v>600</v>
      </c>
      <c r="R175" s="30"/>
      <c r="S175" s="30"/>
      <c r="T175" s="30"/>
      <c r="U175" s="30" t="n">
        <v>1</v>
      </c>
      <c r="V175" s="16"/>
      <c r="W175" s="16"/>
    </row>
    <row r="176" customFormat="false" ht="13.5" hidden="false" customHeight="true" outlineLevel="0" collapsed="false">
      <c r="A176" s="31" t="n">
        <f aca="false">A175+1</f>
        <v>175</v>
      </c>
      <c r="B176" s="30" t="s">
        <v>741</v>
      </c>
      <c r="C176" s="30" t="s">
        <v>328</v>
      </c>
      <c r="D176" s="30" t="s">
        <v>284</v>
      </c>
      <c r="E176" s="30"/>
      <c r="F176" s="30" t="s">
        <v>742</v>
      </c>
      <c r="G176" s="28" t="s">
        <v>286</v>
      </c>
      <c r="H176" s="30" t="s">
        <v>743</v>
      </c>
      <c r="I176" s="28" t="s">
        <v>286</v>
      </c>
      <c r="J176" s="30" t="s">
        <v>556</v>
      </c>
      <c r="K176" s="30" t="n">
        <v>40</v>
      </c>
      <c r="L176" s="30" t="n">
        <v>55</v>
      </c>
      <c r="M176" s="30" t="n">
        <v>80</v>
      </c>
      <c r="N176" s="30" t="n">
        <v>35</v>
      </c>
      <c r="O176" s="30" t="n">
        <v>60</v>
      </c>
      <c r="P176" s="30" t="n">
        <v>30</v>
      </c>
      <c r="Q176" s="30" t="n">
        <f aca="false">SUM(K176:P176)</f>
        <v>300</v>
      </c>
      <c r="R176" s="30" t="n">
        <v>20</v>
      </c>
      <c r="S176" s="30" t="s">
        <v>744</v>
      </c>
      <c r="T176" s="30"/>
      <c r="U176" s="30"/>
      <c r="V176" s="16"/>
      <c r="W176" s="16"/>
    </row>
    <row r="177" customFormat="false" ht="13.5" hidden="false" customHeight="true" outlineLevel="0" collapsed="false">
      <c r="A177" s="31" t="n">
        <f aca="false">A176+1</f>
        <v>176</v>
      </c>
      <c r="B177" s="30" t="s">
        <v>745</v>
      </c>
      <c r="C177" s="30" t="s">
        <v>328</v>
      </c>
      <c r="D177" s="30" t="s">
        <v>284</v>
      </c>
      <c r="E177" s="30"/>
      <c r="F177" s="30" t="s">
        <v>556</v>
      </c>
      <c r="G177" s="28" t="s">
        <v>286</v>
      </c>
      <c r="H177" s="30" t="s">
        <v>557</v>
      </c>
      <c r="I177" s="28" t="s">
        <v>286</v>
      </c>
      <c r="J177" s="30" t="s">
        <v>746</v>
      </c>
      <c r="K177" s="30" t="n">
        <v>60</v>
      </c>
      <c r="L177" s="30" t="n">
        <v>75</v>
      </c>
      <c r="M177" s="30" t="n">
        <v>100</v>
      </c>
      <c r="N177" s="30" t="n">
        <v>55</v>
      </c>
      <c r="O177" s="30" t="n">
        <v>80</v>
      </c>
      <c r="P177" s="30" t="n">
        <v>50</v>
      </c>
      <c r="Q177" s="30" t="n">
        <f aca="false">SUM(K177:P177)</f>
        <v>420</v>
      </c>
      <c r="R177" s="30" t="n">
        <v>45</v>
      </c>
      <c r="S177" s="30"/>
      <c r="T177" s="30"/>
      <c r="U177" s="30"/>
      <c r="V177" s="16"/>
      <c r="W177" s="16"/>
    </row>
    <row r="178" customFormat="false" ht="13.5" hidden="false" customHeight="true" outlineLevel="0" collapsed="false">
      <c r="A178" s="31" t="n">
        <f aca="false">A177+1</f>
        <v>177</v>
      </c>
      <c r="B178" s="30" t="s">
        <v>747</v>
      </c>
      <c r="C178" s="30" t="s">
        <v>328</v>
      </c>
      <c r="D178" s="30" t="s">
        <v>284</v>
      </c>
      <c r="E178" s="30"/>
      <c r="F178" s="30" t="s">
        <v>556</v>
      </c>
      <c r="G178" s="28" t="s">
        <v>286</v>
      </c>
      <c r="H178" s="30" t="s">
        <v>557</v>
      </c>
      <c r="I178" s="28" t="s">
        <v>286</v>
      </c>
      <c r="J178" s="30" t="s">
        <v>746</v>
      </c>
      <c r="K178" s="30" t="n">
        <v>80</v>
      </c>
      <c r="L178" s="30" t="n">
        <v>135</v>
      </c>
      <c r="M178" s="30" t="n">
        <v>130</v>
      </c>
      <c r="N178" s="30" t="n">
        <v>95</v>
      </c>
      <c r="O178" s="30" t="n">
        <v>90</v>
      </c>
      <c r="P178" s="30" t="n">
        <v>70</v>
      </c>
      <c r="Q178" s="30" t="n">
        <f aca="false">SUM(K178:P178)</f>
        <v>600</v>
      </c>
      <c r="R178" s="30"/>
      <c r="S178" s="30"/>
      <c r="T178" s="30"/>
      <c r="U178" s="30" t="n">
        <v>1</v>
      </c>
      <c r="V178" s="16"/>
      <c r="W178" s="16"/>
    </row>
    <row r="179" customFormat="false" ht="13.5" hidden="false" customHeight="true" outlineLevel="0" collapsed="false">
      <c r="A179" s="31" t="n">
        <f aca="false">A178+1</f>
        <v>178</v>
      </c>
      <c r="B179" s="46" t="s">
        <v>748</v>
      </c>
      <c r="C179" s="30" t="s">
        <v>322</v>
      </c>
      <c r="D179" s="30" t="s">
        <v>328</v>
      </c>
      <c r="E179" s="30"/>
      <c r="F179" s="30" t="s">
        <v>425</v>
      </c>
      <c r="G179" s="28" t="s">
        <v>286</v>
      </c>
      <c r="H179" s="30" t="s">
        <v>426</v>
      </c>
      <c r="I179" s="28" t="s">
        <v>286</v>
      </c>
      <c r="J179" s="30" t="s">
        <v>427</v>
      </c>
      <c r="K179" s="30" t="n">
        <v>28</v>
      </c>
      <c r="L179" s="30" t="n">
        <v>25</v>
      </c>
      <c r="M179" s="30" t="n">
        <v>25</v>
      </c>
      <c r="N179" s="30" t="n">
        <v>45</v>
      </c>
      <c r="O179" s="30" t="n">
        <v>35</v>
      </c>
      <c r="P179" s="30" t="n">
        <v>40</v>
      </c>
      <c r="Q179" s="30" t="n">
        <f aca="false">SUM(K179:P179)</f>
        <v>198</v>
      </c>
      <c r="R179" s="30" t="n">
        <v>20</v>
      </c>
      <c r="S179" s="30" t="s">
        <v>749</v>
      </c>
      <c r="T179" s="30"/>
      <c r="U179" s="30"/>
      <c r="V179" s="16"/>
      <c r="W179" s="16"/>
    </row>
    <row r="180" customFormat="false" ht="13.5" hidden="false" customHeight="true" outlineLevel="0" collapsed="false">
      <c r="A180" s="31" t="n">
        <f aca="false">A179+1</f>
        <v>179</v>
      </c>
      <c r="B180" s="30" t="s">
        <v>750</v>
      </c>
      <c r="C180" s="30" t="s">
        <v>322</v>
      </c>
      <c r="D180" s="30" t="s">
        <v>328</v>
      </c>
      <c r="E180" s="30"/>
      <c r="F180" s="30" t="s">
        <v>425</v>
      </c>
      <c r="G180" s="28" t="s">
        <v>286</v>
      </c>
      <c r="H180" s="30" t="s">
        <v>426</v>
      </c>
      <c r="I180" s="28" t="s">
        <v>286</v>
      </c>
      <c r="J180" s="30" t="s">
        <v>427</v>
      </c>
      <c r="K180" s="30" t="n">
        <v>38</v>
      </c>
      <c r="L180" s="30" t="n">
        <v>35</v>
      </c>
      <c r="M180" s="30" t="n">
        <v>35</v>
      </c>
      <c r="N180" s="30" t="n">
        <v>65</v>
      </c>
      <c r="O180" s="30" t="n">
        <v>55</v>
      </c>
      <c r="P180" s="30" t="n">
        <v>50</v>
      </c>
      <c r="Q180" s="30" t="n">
        <f aca="false">SUM(K180:P180)</f>
        <v>278</v>
      </c>
      <c r="R180" s="30" t="n">
        <v>30</v>
      </c>
      <c r="S180" s="30"/>
      <c r="T180" s="30"/>
      <c r="U180" s="30"/>
      <c r="V180" s="16"/>
      <c r="W180" s="16"/>
    </row>
    <row r="181" customFormat="false" ht="13.5" hidden="false" customHeight="true" outlineLevel="0" collapsed="false">
      <c r="A181" s="31" t="n">
        <f aca="false">A180+1</f>
        <v>180</v>
      </c>
      <c r="B181" s="30" t="s">
        <v>751</v>
      </c>
      <c r="C181" s="30" t="s">
        <v>322</v>
      </c>
      <c r="D181" s="30" t="s">
        <v>328</v>
      </c>
      <c r="E181" s="30" t="s">
        <v>752</v>
      </c>
      <c r="F181" s="30" t="s">
        <v>425</v>
      </c>
      <c r="G181" s="28" t="s">
        <v>286</v>
      </c>
      <c r="H181" s="30" t="s">
        <v>427</v>
      </c>
      <c r="I181" s="28" t="s">
        <v>286</v>
      </c>
      <c r="J181" s="30" t="s">
        <v>431</v>
      </c>
      <c r="K181" s="30" t="n">
        <v>68</v>
      </c>
      <c r="L181" s="30" t="n">
        <v>65</v>
      </c>
      <c r="M181" s="30" t="n">
        <v>65</v>
      </c>
      <c r="N181" s="30" t="n">
        <v>125</v>
      </c>
      <c r="O181" s="30" t="n">
        <v>115</v>
      </c>
      <c r="P181" s="30" t="n">
        <v>80</v>
      </c>
      <c r="Q181" s="30" t="n">
        <f aca="false">SUM(K181:P181)</f>
        <v>518</v>
      </c>
      <c r="R181" s="30"/>
      <c r="S181" s="30"/>
      <c r="T181" s="30"/>
      <c r="U181" s="30" t="n">
        <v>1</v>
      </c>
      <c r="V181" s="16"/>
      <c r="W181" s="16"/>
    </row>
    <row r="182" customFormat="false" ht="16.5" hidden="false" customHeight="true" outlineLevel="0" collapsed="false">
      <c r="A182" s="31" t="n">
        <f aca="false">A181+1</f>
        <v>181</v>
      </c>
      <c r="B182" s="30" t="s">
        <v>753</v>
      </c>
      <c r="C182" s="30" t="s">
        <v>322</v>
      </c>
      <c r="D182" s="30" t="s">
        <v>328</v>
      </c>
      <c r="E182" s="30"/>
      <c r="F182" s="30" t="s">
        <v>425</v>
      </c>
      <c r="G182" s="28" t="s">
        <v>286</v>
      </c>
      <c r="H182" s="30" t="s">
        <v>426</v>
      </c>
      <c r="I182" s="28" t="s">
        <v>286</v>
      </c>
      <c r="J182" s="30" t="s">
        <v>427</v>
      </c>
      <c r="K182" s="30" t="n">
        <v>35</v>
      </c>
      <c r="L182" s="30" t="n">
        <v>20</v>
      </c>
      <c r="M182" s="30" t="n">
        <v>65</v>
      </c>
      <c r="N182" s="30" t="n">
        <v>40</v>
      </c>
      <c r="O182" s="30" t="n">
        <v>65</v>
      </c>
      <c r="P182" s="30" t="n">
        <v>20</v>
      </c>
      <c r="Q182" s="30" t="n">
        <f aca="false">SUM(K182:P182)</f>
        <v>245</v>
      </c>
      <c r="R182" s="30" t="s">
        <v>444</v>
      </c>
      <c r="S182" s="30" t="s">
        <v>754</v>
      </c>
      <c r="T182" s="30"/>
      <c r="U182" s="30"/>
      <c r="V182" s="16"/>
      <c r="W182" s="16"/>
    </row>
    <row r="183" customFormat="false" ht="13.5" hidden="false" customHeight="true" outlineLevel="0" collapsed="false">
      <c r="A183" s="31" t="n">
        <f aca="false">A182+1</f>
        <v>182</v>
      </c>
      <c r="B183" s="30" t="s">
        <v>755</v>
      </c>
      <c r="C183" s="30" t="s">
        <v>322</v>
      </c>
      <c r="D183" s="30" t="s">
        <v>328</v>
      </c>
      <c r="E183" s="30"/>
      <c r="F183" s="30" t="s">
        <v>425</v>
      </c>
      <c r="G183" s="47" t="s">
        <v>286</v>
      </c>
      <c r="H183" s="30" t="s">
        <v>427</v>
      </c>
      <c r="I183" s="28" t="s">
        <v>286</v>
      </c>
      <c r="J183" s="30" t="s">
        <v>431</v>
      </c>
      <c r="K183" s="30" t="n">
        <v>55</v>
      </c>
      <c r="L183" s="30" t="n">
        <v>40</v>
      </c>
      <c r="M183" s="30" t="n">
        <v>85</v>
      </c>
      <c r="N183" s="30" t="n">
        <v>80</v>
      </c>
      <c r="O183" s="30" t="n">
        <v>105</v>
      </c>
      <c r="P183" s="30" t="n">
        <v>40</v>
      </c>
      <c r="Q183" s="30" t="n">
        <f aca="false">SUM(K183:P183)</f>
        <v>405</v>
      </c>
      <c r="R183" s="30" t="s">
        <v>118</v>
      </c>
      <c r="S183" s="30"/>
      <c r="T183" s="30"/>
      <c r="U183" s="30" t="n">
        <v>1</v>
      </c>
      <c r="V183" s="16"/>
      <c r="W183" s="16"/>
    </row>
    <row r="184" customFormat="false" ht="13.5" hidden="false" customHeight="true" outlineLevel="0" collapsed="false">
      <c r="A184" s="31" t="n">
        <f aca="false">A183+1</f>
        <v>183</v>
      </c>
      <c r="B184" s="30" t="s">
        <v>756</v>
      </c>
      <c r="C184" s="30" t="s">
        <v>322</v>
      </c>
      <c r="D184" s="30" t="s">
        <v>328</v>
      </c>
      <c r="E184" s="30"/>
      <c r="F184" s="30" t="s">
        <v>425</v>
      </c>
      <c r="G184" s="28" t="s">
        <v>440</v>
      </c>
      <c r="H184" s="30" t="s">
        <v>364</v>
      </c>
      <c r="I184" s="28" t="s">
        <v>286</v>
      </c>
      <c r="J184" s="30" t="s">
        <v>431</v>
      </c>
      <c r="K184" s="30" t="n">
        <v>85</v>
      </c>
      <c r="L184" s="30" t="n">
        <v>50</v>
      </c>
      <c r="M184" s="30" t="n">
        <v>95</v>
      </c>
      <c r="N184" s="30" t="n">
        <v>120</v>
      </c>
      <c r="O184" s="30" t="n">
        <v>115</v>
      </c>
      <c r="P184" s="30" t="n">
        <v>80</v>
      </c>
      <c r="Q184" s="30" t="n">
        <f aca="false">SUM(K184:P184)</f>
        <v>545</v>
      </c>
      <c r="R184" s="30"/>
      <c r="S184" s="30"/>
      <c r="T184" s="30"/>
      <c r="U184" s="30"/>
      <c r="V184" s="16"/>
      <c r="W184" s="16"/>
    </row>
    <row r="185" customFormat="false" ht="16.5" hidden="false" customHeight="true" outlineLevel="0" collapsed="false">
      <c r="A185" s="31" t="n">
        <f aca="false">A184+1</f>
        <v>184</v>
      </c>
      <c r="B185" s="30" t="s">
        <v>757</v>
      </c>
      <c r="C185" s="30" t="s">
        <v>306</v>
      </c>
      <c r="D185" s="30" t="s">
        <v>312</v>
      </c>
      <c r="E185" s="30"/>
      <c r="F185" s="30" t="s">
        <v>478</v>
      </c>
      <c r="G185" s="28" t="s">
        <v>286</v>
      </c>
      <c r="H185" s="30" t="s">
        <v>479</v>
      </c>
      <c r="I185" s="28" t="s">
        <v>286</v>
      </c>
      <c r="J185" s="30" t="s">
        <v>480</v>
      </c>
      <c r="K185" s="30" t="n">
        <v>40</v>
      </c>
      <c r="L185" s="30" t="n">
        <v>70</v>
      </c>
      <c r="M185" s="30" t="n">
        <v>40</v>
      </c>
      <c r="N185" s="30" t="n">
        <v>35</v>
      </c>
      <c r="O185" s="30" t="n">
        <v>40</v>
      </c>
      <c r="P185" s="30" t="n">
        <v>60</v>
      </c>
      <c r="Q185" s="30" t="n">
        <f aca="false">SUM(K185:P185)</f>
        <v>285</v>
      </c>
      <c r="R185" s="30" t="s">
        <v>444</v>
      </c>
      <c r="S185" s="30" t="s">
        <v>758</v>
      </c>
      <c r="T185" s="30"/>
      <c r="U185" s="30"/>
      <c r="V185" s="16"/>
      <c r="W185" s="16"/>
    </row>
    <row r="186" customFormat="false" ht="13.5" hidden="false" customHeight="true" outlineLevel="0" collapsed="false">
      <c r="A186" s="31" t="n">
        <f aca="false">A185+1</f>
        <v>185</v>
      </c>
      <c r="B186" s="30" t="s">
        <v>759</v>
      </c>
      <c r="C186" s="30" t="s">
        <v>328</v>
      </c>
      <c r="D186" s="30" t="s">
        <v>284</v>
      </c>
      <c r="E186" s="48"/>
      <c r="F186" s="30" t="s">
        <v>556</v>
      </c>
      <c r="G186" s="28" t="s">
        <v>286</v>
      </c>
      <c r="H186" s="30" t="s">
        <v>557</v>
      </c>
      <c r="I186" s="28" t="s">
        <v>286</v>
      </c>
      <c r="J186" s="30" t="s">
        <v>484</v>
      </c>
      <c r="K186" s="30" t="n">
        <v>70</v>
      </c>
      <c r="L186" s="30" t="n">
        <v>110</v>
      </c>
      <c r="M186" s="30" t="n">
        <v>70</v>
      </c>
      <c r="N186" s="30" t="n">
        <v>115</v>
      </c>
      <c r="O186" s="30" t="n">
        <v>70</v>
      </c>
      <c r="P186" s="30" t="n">
        <v>90</v>
      </c>
      <c r="Q186" s="30" t="n">
        <f aca="false">SUM(K186:P186)</f>
        <v>525</v>
      </c>
      <c r="R186" s="30"/>
      <c r="S186" s="30"/>
      <c r="T186" s="30"/>
      <c r="U186" s="30" t="n">
        <v>1</v>
      </c>
      <c r="V186" s="16"/>
      <c r="W186" s="16"/>
    </row>
    <row r="187" customFormat="false" ht="13.5" hidden="false" customHeight="true" outlineLevel="0" collapsed="false">
      <c r="A187" s="31" t="n">
        <f aca="false">A186+1</f>
        <v>186</v>
      </c>
      <c r="B187" s="46" t="s">
        <v>760</v>
      </c>
      <c r="C187" s="30" t="s">
        <v>306</v>
      </c>
      <c r="D187" s="30" t="s">
        <v>283</v>
      </c>
      <c r="E187" s="30"/>
      <c r="F187" s="30" t="s">
        <v>405</v>
      </c>
      <c r="G187" s="28" t="s">
        <v>286</v>
      </c>
      <c r="H187" s="30" t="s">
        <v>406</v>
      </c>
      <c r="I187" s="28" t="s">
        <v>286</v>
      </c>
      <c r="J187" s="30" t="s">
        <v>407</v>
      </c>
      <c r="K187" s="30" t="n">
        <v>68</v>
      </c>
      <c r="L187" s="30" t="n">
        <v>72</v>
      </c>
      <c r="M187" s="30" t="n">
        <v>78</v>
      </c>
      <c r="N187" s="30" t="n">
        <v>38</v>
      </c>
      <c r="O187" s="30" t="n">
        <v>42</v>
      </c>
      <c r="P187" s="30" t="n">
        <v>32</v>
      </c>
      <c r="Q187" s="30" t="n">
        <f aca="false">SUM(K187:P187)</f>
        <v>330</v>
      </c>
      <c r="R187" s="30" t="n">
        <v>34</v>
      </c>
      <c r="S187" s="30" t="s">
        <v>761</v>
      </c>
      <c r="T187" s="30"/>
      <c r="U187" s="30"/>
      <c r="V187" s="16"/>
      <c r="W187" s="16"/>
    </row>
    <row r="188" customFormat="false" ht="13.5" hidden="false" customHeight="true" outlineLevel="0" collapsed="false">
      <c r="A188" s="31" t="n">
        <f aca="false">A187+1</f>
        <v>187</v>
      </c>
      <c r="B188" s="30" t="s">
        <v>762</v>
      </c>
      <c r="C188" s="30" t="s">
        <v>306</v>
      </c>
      <c r="D188" s="30" t="s">
        <v>283</v>
      </c>
      <c r="E188" s="30" t="str">
        <f aca="false">E169</f>
        <v>すなおこし：このポケモンを出したとき、バトルの天候を砂あらしにする</v>
      </c>
      <c r="F188" s="30" t="s">
        <v>414</v>
      </c>
      <c r="G188" s="28" t="s">
        <v>286</v>
      </c>
      <c r="H188" s="30" t="s">
        <v>413</v>
      </c>
      <c r="I188" s="28" t="s">
        <v>286</v>
      </c>
      <c r="J188" s="28" t="s">
        <v>763</v>
      </c>
      <c r="K188" s="30" t="n">
        <v>108</v>
      </c>
      <c r="L188" s="30" t="n">
        <v>112</v>
      </c>
      <c r="M188" s="30" t="n">
        <v>118</v>
      </c>
      <c r="N188" s="30" t="n">
        <v>68</v>
      </c>
      <c r="O188" s="30" t="n">
        <v>72</v>
      </c>
      <c r="P188" s="30" t="n">
        <v>47</v>
      </c>
      <c r="Q188" s="30" t="n">
        <f aca="false">SUM(K188:P188)</f>
        <v>525</v>
      </c>
      <c r="R188" s="30"/>
      <c r="S188" s="30"/>
      <c r="T188" s="30"/>
      <c r="U188" s="30" t="n">
        <v>1</v>
      </c>
      <c r="V188" s="16"/>
      <c r="W188" s="16"/>
    </row>
    <row r="189" customFormat="false" ht="13.5" hidden="false" customHeight="true" outlineLevel="0" collapsed="false">
      <c r="A189" s="31" t="n">
        <f aca="false">A188+1</f>
        <v>188</v>
      </c>
      <c r="B189" s="46" t="s">
        <v>764</v>
      </c>
      <c r="C189" s="30" t="s">
        <v>301</v>
      </c>
      <c r="D189" s="30" t="s">
        <v>306</v>
      </c>
      <c r="E189" s="30"/>
      <c r="F189" s="30" t="s">
        <v>394</v>
      </c>
      <c r="G189" s="28" t="s">
        <v>286</v>
      </c>
      <c r="H189" s="30" t="s">
        <v>548</v>
      </c>
      <c r="I189" s="28" t="s">
        <v>286</v>
      </c>
      <c r="J189" s="30" t="s">
        <v>549</v>
      </c>
      <c r="K189" s="30" t="n">
        <v>45</v>
      </c>
      <c r="L189" s="30" t="n">
        <v>65</v>
      </c>
      <c r="M189" s="30" t="n">
        <v>34</v>
      </c>
      <c r="N189" s="30" t="n">
        <v>40</v>
      </c>
      <c r="O189" s="30" t="n">
        <v>34</v>
      </c>
      <c r="P189" s="30" t="n">
        <v>45</v>
      </c>
      <c r="Q189" s="30" t="n">
        <f aca="false">SUM(K189:P189)</f>
        <v>263</v>
      </c>
      <c r="R189" s="30" t="n">
        <v>15</v>
      </c>
      <c r="S189" s="30" t="s">
        <v>765</v>
      </c>
      <c r="T189" s="30"/>
      <c r="U189" s="30"/>
      <c r="V189" s="16"/>
      <c r="W189" s="16"/>
    </row>
    <row r="190" customFormat="false" ht="13.5" hidden="false" customHeight="true" outlineLevel="0" collapsed="false">
      <c r="A190" s="31" t="n">
        <f aca="false">A189+1</f>
        <v>189</v>
      </c>
      <c r="B190" s="30" t="s">
        <v>766</v>
      </c>
      <c r="C190" s="30" t="s">
        <v>301</v>
      </c>
      <c r="D190" s="30" t="s">
        <v>306</v>
      </c>
      <c r="E190" s="30"/>
      <c r="F190" s="30" t="s">
        <v>552</v>
      </c>
      <c r="G190" s="28" t="s">
        <v>286</v>
      </c>
      <c r="H190" s="28" t="s">
        <v>401</v>
      </c>
      <c r="I190" s="28" t="s">
        <v>286</v>
      </c>
      <c r="J190" s="30" t="s">
        <v>553</v>
      </c>
      <c r="K190" s="30" t="n">
        <v>60</v>
      </c>
      <c r="L190" s="30" t="n">
        <v>85</v>
      </c>
      <c r="M190" s="30" t="n">
        <v>49</v>
      </c>
      <c r="N190" s="30" t="n">
        <v>60</v>
      </c>
      <c r="O190" s="30" t="n">
        <v>49</v>
      </c>
      <c r="P190" s="30" t="n">
        <v>60</v>
      </c>
      <c r="Q190" s="30" t="n">
        <f aca="false">SUM(K190:P190)</f>
        <v>363</v>
      </c>
      <c r="R190" s="30" t="n">
        <v>30</v>
      </c>
      <c r="S190" s="30"/>
      <c r="T190" s="30"/>
      <c r="U190" s="30"/>
      <c r="V190" s="16"/>
      <c r="W190" s="16"/>
    </row>
    <row r="191" customFormat="false" ht="13.5" hidden="false" customHeight="true" outlineLevel="0" collapsed="false">
      <c r="A191" s="31" t="n">
        <f aca="false">A190+1</f>
        <v>190</v>
      </c>
      <c r="B191" s="30" t="s">
        <v>767</v>
      </c>
      <c r="C191" s="30" t="s">
        <v>301</v>
      </c>
      <c r="D191" s="30" t="s">
        <v>306</v>
      </c>
      <c r="E191" s="30"/>
      <c r="F191" s="30" t="s">
        <v>400</v>
      </c>
      <c r="G191" s="28" t="s">
        <v>395</v>
      </c>
      <c r="H191" s="28" t="s">
        <v>401</v>
      </c>
      <c r="I191" s="28" t="s">
        <v>286</v>
      </c>
      <c r="J191" s="30" t="s">
        <v>402</v>
      </c>
      <c r="K191" s="30" t="n">
        <v>80</v>
      </c>
      <c r="L191" s="30" t="n">
        <v>120</v>
      </c>
      <c r="M191" s="30" t="n">
        <v>79</v>
      </c>
      <c r="N191" s="30" t="n">
        <v>95</v>
      </c>
      <c r="O191" s="30" t="n">
        <v>79</v>
      </c>
      <c r="P191" s="30" t="n">
        <v>70</v>
      </c>
      <c r="Q191" s="30" t="n">
        <f aca="false">SUM(K191:P191)</f>
        <v>523</v>
      </c>
      <c r="R191" s="30"/>
      <c r="S191" s="30"/>
      <c r="T191" s="30"/>
      <c r="U191" s="30" t="n">
        <v>1</v>
      </c>
      <c r="V191" s="16"/>
      <c r="W191" s="16"/>
    </row>
    <row r="192" customFormat="false" ht="16.5" hidden="false" customHeight="true" outlineLevel="0" collapsed="false">
      <c r="A192" s="31" t="n">
        <f aca="false">A191+1</f>
        <v>191</v>
      </c>
      <c r="B192" s="30" t="s">
        <v>768</v>
      </c>
      <c r="C192" s="30" t="s">
        <v>334</v>
      </c>
      <c r="D192" s="30" t="s">
        <v>322</v>
      </c>
      <c r="E192" s="30"/>
      <c r="F192" s="30" t="s">
        <v>707</v>
      </c>
      <c r="G192" s="28" t="s">
        <v>286</v>
      </c>
      <c r="H192" s="30" t="s">
        <v>708</v>
      </c>
      <c r="I192" s="28" t="s">
        <v>286</v>
      </c>
      <c r="J192" s="30" t="s">
        <v>709</v>
      </c>
      <c r="K192" s="30" t="n">
        <v>46</v>
      </c>
      <c r="L192" s="30" t="n">
        <v>87</v>
      </c>
      <c r="M192" s="30" t="n">
        <v>60</v>
      </c>
      <c r="N192" s="30" t="n">
        <v>30</v>
      </c>
      <c r="O192" s="30" t="n">
        <v>40</v>
      </c>
      <c r="P192" s="30" t="n">
        <v>57</v>
      </c>
      <c r="Q192" s="30" t="n">
        <f aca="false">SUM(K192:P192)</f>
        <v>320</v>
      </c>
      <c r="R192" s="30" t="n">
        <v>38</v>
      </c>
      <c r="S192" s="28" t="s">
        <v>769</v>
      </c>
      <c r="T192" s="30"/>
      <c r="U192" s="30"/>
      <c r="V192" s="16"/>
      <c r="W192" s="16"/>
    </row>
    <row r="193" customFormat="false" ht="13.5" hidden="false" customHeight="true" outlineLevel="0" collapsed="false">
      <c r="A193" s="31" t="n">
        <f aca="false">A192+1</f>
        <v>192</v>
      </c>
      <c r="B193" s="30" t="s">
        <v>770</v>
      </c>
      <c r="C193" s="30" t="s">
        <v>334</v>
      </c>
      <c r="D193" s="30" t="s">
        <v>322</v>
      </c>
      <c r="E193" s="30"/>
      <c r="F193" s="30" t="s">
        <v>712</v>
      </c>
      <c r="G193" s="28" t="s">
        <v>286</v>
      </c>
      <c r="H193" s="30" t="s">
        <v>713</v>
      </c>
      <c r="I193" s="28" t="s">
        <v>286</v>
      </c>
      <c r="J193" s="30" t="s">
        <v>714</v>
      </c>
      <c r="K193" s="30" t="n">
        <v>66</v>
      </c>
      <c r="L193" s="30" t="n">
        <v>117</v>
      </c>
      <c r="M193" s="30" t="n">
        <v>70</v>
      </c>
      <c r="N193" s="30" t="n">
        <v>40</v>
      </c>
      <c r="O193" s="30" t="n">
        <v>50</v>
      </c>
      <c r="P193" s="30" t="n">
        <v>67</v>
      </c>
      <c r="Q193" s="30" t="n">
        <f aca="false">SUM(K193:P193)</f>
        <v>410</v>
      </c>
      <c r="R193" s="30" t="n">
        <v>48</v>
      </c>
      <c r="S193" s="30"/>
      <c r="T193" s="30"/>
      <c r="U193" s="30"/>
      <c r="V193" s="16"/>
      <c r="W193" s="16"/>
    </row>
    <row r="194" customFormat="false" ht="13.5" hidden="false" customHeight="true" outlineLevel="0" collapsed="false">
      <c r="A194" s="31" t="n">
        <f aca="false">A193+1</f>
        <v>193</v>
      </c>
      <c r="B194" s="30" t="s">
        <v>771</v>
      </c>
      <c r="C194" s="30" t="s">
        <v>334</v>
      </c>
      <c r="D194" s="30" t="s">
        <v>322</v>
      </c>
      <c r="E194" s="30"/>
      <c r="F194" s="48"/>
      <c r="G194" s="28" t="s">
        <v>286</v>
      </c>
      <c r="H194" s="30" t="s">
        <v>713</v>
      </c>
      <c r="I194" s="28" t="s">
        <v>286</v>
      </c>
      <c r="J194" s="30" t="s">
        <v>716</v>
      </c>
      <c r="K194" s="30" t="n">
        <v>76</v>
      </c>
      <c r="L194" s="30" t="n">
        <v>147</v>
      </c>
      <c r="M194" s="30" t="n">
        <v>90</v>
      </c>
      <c r="N194" s="30" t="n">
        <v>60</v>
      </c>
      <c r="O194" s="30" t="n">
        <v>70</v>
      </c>
      <c r="P194" s="30" t="n">
        <v>97</v>
      </c>
      <c r="Q194" s="30" t="n">
        <f aca="false">SUM(K194:P194)</f>
        <v>540</v>
      </c>
      <c r="R194" s="30"/>
      <c r="S194" s="30"/>
      <c r="T194" s="30"/>
      <c r="U194" s="30" t="n">
        <v>1</v>
      </c>
      <c r="V194" s="16"/>
      <c r="W194" s="16"/>
    </row>
    <row r="195" customFormat="false" ht="13.5" hidden="false" customHeight="true" outlineLevel="0" collapsed="false">
      <c r="A195" s="31" t="n">
        <f aca="false">A194+1</f>
        <v>194</v>
      </c>
      <c r="B195" s="30" t="s">
        <v>772</v>
      </c>
      <c r="C195" s="30" t="s">
        <v>317</v>
      </c>
      <c r="D195" s="30" t="s">
        <v>306</v>
      </c>
      <c r="E195" s="30"/>
      <c r="F195" s="30" t="s">
        <v>725</v>
      </c>
      <c r="G195" s="28" t="s">
        <v>286</v>
      </c>
      <c r="H195" s="30" t="s">
        <v>726</v>
      </c>
      <c r="I195" s="28" t="s">
        <v>286</v>
      </c>
      <c r="J195" s="30" t="s">
        <v>727</v>
      </c>
      <c r="K195" s="30" t="n">
        <v>52</v>
      </c>
      <c r="L195" s="30" t="n">
        <v>65</v>
      </c>
      <c r="M195" s="30" t="n">
        <v>50</v>
      </c>
      <c r="N195" s="30" t="n">
        <v>45</v>
      </c>
      <c r="O195" s="30" t="n">
        <v>50</v>
      </c>
      <c r="P195" s="30" t="n">
        <v>38</v>
      </c>
      <c r="Q195" s="30" t="n">
        <f aca="false">SUM(K195:P195)</f>
        <v>300</v>
      </c>
      <c r="R195" s="30" t="n">
        <v>50</v>
      </c>
      <c r="S195" s="30" t="s">
        <v>773</v>
      </c>
      <c r="T195" s="30"/>
      <c r="U195" s="30"/>
      <c r="V195" s="16"/>
      <c r="W195" s="16"/>
    </row>
    <row r="196" customFormat="false" ht="13.5" hidden="false" customHeight="true" outlineLevel="0" collapsed="false">
      <c r="A196" s="31" t="n">
        <f aca="false">A195+1</f>
        <v>195</v>
      </c>
      <c r="B196" s="30" t="s">
        <v>774</v>
      </c>
      <c r="C196" s="30" t="s">
        <v>317</v>
      </c>
      <c r="D196" s="30" t="s">
        <v>306</v>
      </c>
      <c r="E196" s="30"/>
      <c r="F196" s="30" t="s">
        <v>682</v>
      </c>
      <c r="G196" s="28" t="s">
        <v>286</v>
      </c>
      <c r="H196" s="30" t="s">
        <v>683</v>
      </c>
      <c r="I196" s="28" t="s">
        <v>286</v>
      </c>
      <c r="J196" s="30" t="s">
        <v>730</v>
      </c>
      <c r="K196" s="30" t="n">
        <v>72</v>
      </c>
      <c r="L196" s="30" t="n">
        <v>85</v>
      </c>
      <c r="M196" s="30" t="n">
        <v>70</v>
      </c>
      <c r="N196" s="30" t="n">
        <v>65</v>
      </c>
      <c r="O196" s="30" t="n">
        <v>70</v>
      </c>
      <c r="P196" s="30" t="n">
        <v>58</v>
      </c>
      <c r="Q196" s="30" t="n">
        <f aca="false">SUM(K196:P196)</f>
        <v>420</v>
      </c>
      <c r="R196" s="30" t="n">
        <v>64</v>
      </c>
      <c r="S196" s="30"/>
      <c r="T196" s="30"/>
      <c r="U196" s="30"/>
      <c r="V196" s="16"/>
      <c r="W196" s="16"/>
    </row>
    <row r="197" customFormat="false" ht="13.5" hidden="false" customHeight="true" outlineLevel="0" collapsed="false">
      <c r="A197" s="31" t="n">
        <f aca="false">A196+1</f>
        <v>196</v>
      </c>
      <c r="B197" s="30" t="s">
        <v>775</v>
      </c>
      <c r="C197" s="30" t="s">
        <v>317</v>
      </c>
      <c r="D197" s="30" t="s">
        <v>306</v>
      </c>
      <c r="E197" s="30"/>
      <c r="F197" s="30" t="s">
        <v>682</v>
      </c>
      <c r="G197" s="28" t="s">
        <v>286</v>
      </c>
      <c r="H197" s="30" t="s">
        <v>683</v>
      </c>
      <c r="I197" s="28" t="s">
        <v>286</v>
      </c>
      <c r="J197" s="30" t="s">
        <v>639</v>
      </c>
      <c r="K197" s="30" t="n">
        <v>92</v>
      </c>
      <c r="L197" s="30" t="n">
        <v>105</v>
      </c>
      <c r="M197" s="30" t="n">
        <v>90</v>
      </c>
      <c r="N197" s="30" t="n">
        <v>125</v>
      </c>
      <c r="O197" s="30" t="n">
        <v>90</v>
      </c>
      <c r="P197" s="30" t="n">
        <v>98</v>
      </c>
      <c r="Q197" s="30" t="n">
        <f aca="false">SUM(K197:P197)</f>
        <v>600</v>
      </c>
      <c r="R197" s="30"/>
      <c r="S197" s="30"/>
      <c r="T197" s="30"/>
      <c r="U197" s="30" t="n">
        <v>1</v>
      </c>
      <c r="V197" s="16"/>
      <c r="W197" s="16"/>
    </row>
    <row r="198" customFormat="false" ht="13.5" hidden="false" customHeight="true" outlineLevel="0" collapsed="false">
      <c r="A198" s="31" t="n">
        <f aca="false">A197+1</f>
        <v>197</v>
      </c>
      <c r="B198" s="30" t="s">
        <v>776</v>
      </c>
      <c r="C198" s="30" t="s">
        <v>284</v>
      </c>
      <c r="D198" s="30" t="s">
        <v>293</v>
      </c>
      <c r="E198" s="30"/>
      <c r="F198" s="30" t="s">
        <v>303</v>
      </c>
      <c r="G198" s="28" t="s">
        <v>286</v>
      </c>
      <c r="H198" s="30" t="s">
        <v>304</v>
      </c>
      <c r="I198" s="28" t="s">
        <v>286</v>
      </c>
      <c r="J198" s="30" t="s">
        <v>305</v>
      </c>
      <c r="K198" s="30" t="n">
        <v>55</v>
      </c>
      <c r="L198" s="30" t="n">
        <v>85</v>
      </c>
      <c r="M198" s="30" t="n">
        <v>55</v>
      </c>
      <c r="N198" s="30" t="n">
        <v>50</v>
      </c>
      <c r="O198" s="30" t="n">
        <v>55</v>
      </c>
      <c r="P198" s="30" t="n">
        <v>60</v>
      </c>
      <c r="Q198" s="30" t="n">
        <f aca="false">SUM(K198:P198)</f>
        <v>360</v>
      </c>
      <c r="R198" s="30" t="n">
        <v>59</v>
      </c>
      <c r="S198" s="30" t="s">
        <v>777</v>
      </c>
      <c r="T198" s="30"/>
      <c r="U198" s="30"/>
      <c r="V198" s="16"/>
      <c r="W198" s="16"/>
    </row>
    <row r="199" customFormat="false" ht="16.5" hidden="false" customHeight="true" outlineLevel="0" collapsed="false">
      <c r="A199" s="31" t="n">
        <f aca="false">A198+1</f>
        <v>198</v>
      </c>
      <c r="B199" s="30" t="s">
        <v>778</v>
      </c>
      <c r="C199" s="30" t="s">
        <v>284</v>
      </c>
      <c r="D199" s="30" t="s">
        <v>293</v>
      </c>
      <c r="E199" s="30" t="s">
        <v>540</v>
      </c>
      <c r="F199" s="30" t="s">
        <v>309</v>
      </c>
      <c r="G199" s="28" t="s">
        <v>286</v>
      </c>
      <c r="H199" s="30" t="s">
        <v>310</v>
      </c>
      <c r="I199" s="28" t="s">
        <v>286</v>
      </c>
      <c r="J199" s="30" t="s">
        <v>779</v>
      </c>
      <c r="K199" s="30" t="n">
        <v>85</v>
      </c>
      <c r="L199" s="30" t="n">
        <v>60</v>
      </c>
      <c r="M199" s="30" t="n">
        <v>65</v>
      </c>
      <c r="N199" s="30" t="n">
        <v>135</v>
      </c>
      <c r="O199" s="30" t="n">
        <v>105</v>
      </c>
      <c r="P199" s="30" t="n">
        <v>100</v>
      </c>
      <c r="Q199" s="30" t="n">
        <f aca="false">SUM(K199:P199)</f>
        <v>550</v>
      </c>
      <c r="R199" s="30"/>
      <c r="S199" s="30"/>
      <c r="T199" s="30"/>
      <c r="U199" s="30" t="n">
        <v>1</v>
      </c>
      <c r="V199" s="16"/>
      <c r="W199" s="16"/>
    </row>
    <row r="200" customFormat="false" ht="13.5" hidden="false" customHeight="true" outlineLevel="0" collapsed="false">
      <c r="A200" s="31" t="n">
        <f aca="false">A199+1</f>
        <v>199</v>
      </c>
      <c r="B200" s="46" t="s">
        <v>780</v>
      </c>
      <c r="C200" s="30" t="s">
        <v>334</v>
      </c>
      <c r="D200" s="30" t="s">
        <v>322</v>
      </c>
      <c r="E200" s="30"/>
      <c r="F200" s="30" t="s">
        <v>707</v>
      </c>
      <c r="G200" s="28" t="s">
        <v>286</v>
      </c>
      <c r="H200" s="30" t="s">
        <v>708</v>
      </c>
      <c r="I200" s="28" t="s">
        <v>286</v>
      </c>
      <c r="J200" s="30" t="s">
        <v>709</v>
      </c>
      <c r="K200" s="30" t="n">
        <v>28</v>
      </c>
      <c r="L200" s="30" t="n">
        <v>60</v>
      </c>
      <c r="M200" s="30" t="n">
        <v>30</v>
      </c>
      <c r="N200" s="30" t="n">
        <v>40</v>
      </c>
      <c r="O200" s="30" t="n">
        <v>30</v>
      </c>
      <c r="P200" s="30" t="n">
        <v>82</v>
      </c>
      <c r="Q200" s="30" t="n">
        <f aca="false">SUM(K200:P200)</f>
        <v>270</v>
      </c>
      <c r="R200" s="30" t="n">
        <v>50</v>
      </c>
      <c r="S200" s="30" t="s">
        <v>781</v>
      </c>
      <c r="T200" s="30"/>
      <c r="U200" s="30"/>
      <c r="V200" s="16"/>
      <c r="W200" s="16"/>
    </row>
    <row r="201" customFormat="false" ht="13.5" hidden="false" customHeight="true" outlineLevel="0" collapsed="false">
      <c r="A201" s="31" t="n">
        <f aca="false">A200+1</f>
        <v>200</v>
      </c>
      <c r="B201" s="30" t="s">
        <v>782</v>
      </c>
      <c r="C201" s="30" t="s">
        <v>334</v>
      </c>
      <c r="D201" s="30" t="s">
        <v>322</v>
      </c>
      <c r="E201" s="30"/>
      <c r="F201" s="30" t="s">
        <v>712</v>
      </c>
      <c r="G201" s="28" t="s">
        <v>286</v>
      </c>
      <c r="H201" s="30" t="s">
        <v>713</v>
      </c>
      <c r="I201" s="28" t="s">
        <v>286</v>
      </c>
      <c r="J201" s="30" t="s">
        <v>714</v>
      </c>
      <c r="K201" s="30" t="n">
        <v>68</v>
      </c>
      <c r="L201" s="30" t="n">
        <v>80</v>
      </c>
      <c r="M201" s="30" t="n">
        <v>50</v>
      </c>
      <c r="N201" s="30" t="n">
        <v>60</v>
      </c>
      <c r="O201" s="30" t="n">
        <v>50</v>
      </c>
      <c r="P201" s="30" t="n">
        <v>102</v>
      </c>
      <c r="Q201" s="30" t="n">
        <f aca="false">SUM(K201:P201)</f>
        <v>410</v>
      </c>
      <c r="R201" s="30" t="n">
        <v>60</v>
      </c>
      <c r="S201" s="30"/>
      <c r="T201" s="30"/>
      <c r="U201" s="30"/>
      <c r="V201" s="16"/>
      <c r="W201" s="16"/>
    </row>
    <row r="202" customFormat="false" ht="13.5" hidden="false" customHeight="true" outlineLevel="0" collapsed="false">
      <c r="A202" s="31" t="n">
        <f aca="false">A201+1</f>
        <v>201</v>
      </c>
      <c r="B202" s="46" t="s">
        <v>783</v>
      </c>
      <c r="C202" s="30" t="s">
        <v>334</v>
      </c>
      <c r="D202" s="30" t="s">
        <v>322</v>
      </c>
      <c r="E202" s="30"/>
      <c r="F202" s="30" t="s">
        <v>712</v>
      </c>
      <c r="G202" s="28" t="s">
        <v>286</v>
      </c>
      <c r="H202" s="30" t="s">
        <v>713</v>
      </c>
      <c r="I202" s="28" t="s">
        <v>286</v>
      </c>
      <c r="J202" s="30" t="s">
        <v>784</v>
      </c>
      <c r="K202" s="30" t="n">
        <v>88</v>
      </c>
      <c r="L202" s="30" t="n">
        <v>120</v>
      </c>
      <c r="M202" s="30" t="n">
        <v>75</v>
      </c>
      <c r="N202" s="30" t="n">
        <v>100</v>
      </c>
      <c r="O202" s="30" t="n">
        <v>75</v>
      </c>
      <c r="P202" s="30" t="n">
        <v>142</v>
      </c>
      <c r="Q202" s="30" t="n">
        <f aca="false">SUM(K202:P202)</f>
        <v>600</v>
      </c>
      <c r="R202" s="30"/>
      <c r="S202" s="30"/>
      <c r="T202" s="30"/>
      <c r="U202" s="30" t="n">
        <v>1</v>
      </c>
      <c r="V202" s="16"/>
      <c r="W202" s="16"/>
    </row>
    <row r="203" customFormat="false" ht="16.5" hidden="false" customHeight="true" outlineLevel="0" collapsed="false">
      <c r="A203" s="31" t="n">
        <f aca="false">A202+1</f>
        <v>202</v>
      </c>
      <c r="B203" s="30" t="s">
        <v>785</v>
      </c>
      <c r="C203" s="30" t="s">
        <v>337</v>
      </c>
      <c r="D203" s="30" t="s">
        <v>301</v>
      </c>
      <c r="E203" s="30"/>
      <c r="F203" s="30" t="s">
        <v>698</v>
      </c>
      <c r="G203" s="28" t="s">
        <v>286</v>
      </c>
      <c r="H203" s="30" t="s">
        <v>699</v>
      </c>
      <c r="I203" s="28" t="s">
        <v>286</v>
      </c>
      <c r="J203" s="30" t="s">
        <v>786</v>
      </c>
      <c r="K203" s="30" t="n">
        <v>106</v>
      </c>
      <c r="L203" s="30" t="n">
        <v>90</v>
      </c>
      <c r="M203" s="30" t="n">
        <v>130</v>
      </c>
      <c r="N203" s="30" t="n">
        <v>90</v>
      </c>
      <c r="O203" s="30" t="n">
        <v>154</v>
      </c>
      <c r="P203" s="30" t="n">
        <v>110</v>
      </c>
      <c r="Q203" s="30" t="n">
        <f aca="false">SUM(K203:P203)</f>
        <v>680</v>
      </c>
      <c r="R203" s="30"/>
      <c r="S203" s="30" t="s">
        <v>787</v>
      </c>
      <c r="T203" s="30"/>
      <c r="U203" s="30"/>
      <c r="V203" s="16"/>
      <c r="W203" s="16"/>
    </row>
    <row r="204" customFormat="false" ht="16.5" hidden="false" customHeight="true" outlineLevel="0" collapsed="false">
      <c r="A204" s="31" t="n">
        <f aca="false">A203+1</f>
        <v>203</v>
      </c>
      <c r="B204" s="30" t="s">
        <v>788</v>
      </c>
      <c r="C204" s="30" t="s">
        <v>284</v>
      </c>
      <c r="D204" s="30" t="s">
        <v>293</v>
      </c>
      <c r="E204" s="30"/>
      <c r="F204" s="30" t="s">
        <v>309</v>
      </c>
      <c r="G204" s="28" t="s">
        <v>286</v>
      </c>
      <c r="H204" s="30" t="s">
        <v>310</v>
      </c>
      <c r="I204" s="28" t="s">
        <v>286</v>
      </c>
      <c r="J204" s="30" t="s">
        <v>789</v>
      </c>
      <c r="K204" s="30" t="n">
        <v>106</v>
      </c>
      <c r="L204" s="30" t="n">
        <v>130</v>
      </c>
      <c r="M204" s="30" t="n">
        <v>90</v>
      </c>
      <c r="N204" s="30" t="n">
        <v>110</v>
      </c>
      <c r="O204" s="30" t="n">
        <v>154</v>
      </c>
      <c r="P204" s="30" t="n">
        <v>90</v>
      </c>
      <c r="Q204" s="30" t="n">
        <f aca="false">SUM(K204:P204)</f>
        <v>680</v>
      </c>
      <c r="R204" s="30"/>
      <c r="S204" s="30" t="s">
        <v>790</v>
      </c>
      <c r="T204" s="30"/>
      <c r="U204" s="30"/>
      <c r="V204" s="16"/>
      <c r="W204" s="16"/>
    </row>
    <row r="205" customFormat="false" ht="13.5" hidden="false" customHeight="true" outlineLevel="0" collapsed="false">
      <c r="A205" s="31" t="n">
        <f aca="false">A204+1</f>
        <v>204</v>
      </c>
      <c r="B205" s="30" t="s">
        <v>791</v>
      </c>
      <c r="C205" s="30" t="s">
        <v>334</v>
      </c>
      <c r="D205" s="30" t="s">
        <v>322</v>
      </c>
      <c r="E205" s="30"/>
      <c r="F205" s="30" t="s">
        <v>712</v>
      </c>
      <c r="G205" s="28" t="s">
        <v>286</v>
      </c>
      <c r="H205" s="30" t="s">
        <v>713</v>
      </c>
      <c r="I205" s="28" t="s">
        <v>286</v>
      </c>
      <c r="J205" s="30" t="s">
        <v>792</v>
      </c>
      <c r="K205" s="30" t="n">
        <v>80</v>
      </c>
      <c r="L205" s="30" t="n">
        <v>90</v>
      </c>
      <c r="M205" s="30" t="n">
        <v>80</v>
      </c>
      <c r="N205" s="30" t="n">
        <v>130</v>
      </c>
      <c r="O205" s="30" t="n">
        <v>110</v>
      </c>
      <c r="P205" s="30" t="n">
        <v>110</v>
      </c>
      <c r="Q205" s="30" t="n">
        <f aca="false">SUM(K205:P205)</f>
        <v>600</v>
      </c>
      <c r="R205" s="30"/>
      <c r="S205" s="30" t="s">
        <v>793</v>
      </c>
      <c r="T205" s="30"/>
      <c r="U205" s="30" t="n">
        <v>1</v>
      </c>
      <c r="V205" s="16"/>
      <c r="W205" s="16"/>
    </row>
    <row r="206" customFormat="false" ht="13.5" hidden="false" customHeight="true" outlineLevel="0" collapsed="false">
      <c r="A206" s="31" t="n">
        <f aca="false">A205+1</f>
        <v>205</v>
      </c>
      <c r="B206" s="30" t="s">
        <v>794</v>
      </c>
      <c r="C206" s="30" t="s">
        <v>334</v>
      </c>
      <c r="D206" s="30" t="s">
        <v>322</v>
      </c>
      <c r="E206" s="30"/>
      <c r="F206" s="30" t="s">
        <v>712</v>
      </c>
      <c r="G206" s="28" t="s">
        <v>286</v>
      </c>
      <c r="H206" s="30" t="s">
        <v>713</v>
      </c>
      <c r="I206" s="28" t="s">
        <v>286</v>
      </c>
      <c r="J206" s="30" t="s">
        <v>795</v>
      </c>
      <c r="K206" s="30" t="n">
        <v>80</v>
      </c>
      <c r="L206" s="30" t="n">
        <v>80</v>
      </c>
      <c r="M206" s="30" t="n">
        <v>90</v>
      </c>
      <c r="N206" s="30" t="n">
        <v>110</v>
      </c>
      <c r="O206" s="30" t="n">
        <v>130</v>
      </c>
      <c r="P206" s="30" t="n">
        <v>110</v>
      </c>
      <c r="Q206" s="30" t="n">
        <f aca="false">SUM(K206:P206)</f>
        <v>600</v>
      </c>
      <c r="R206" s="30"/>
      <c r="S206" s="30" t="s">
        <v>793</v>
      </c>
      <c r="T206" s="30"/>
      <c r="U206" s="30" t="n">
        <v>1</v>
      </c>
      <c r="V206" s="16"/>
      <c r="W206" s="16"/>
    </row>
    <row r="207" customFormat="false" ht="13.5" hidden="false" customHeight="true" outlineLevel="0" collapsed="false">
      <c r="A207" s="31" t="n">
        <f aca="false">A206+1</f>
        <v>206</v>
      </c>
      <c r="B207" s="30" t="s">
        <v>796</v>
      </c>
      <c r="C207" s="30" t="s">
        <v>284</v>
      </c>
      <c r="D207" s="30" t="s">
        <v>293</v>
      </c>
      <c r="E207" s="30"/>
      <c r="F207" s="30" t="s">
        <v>303</v>
      </c>
      <c r="G207" s="28" t="s">
        <v>286</v>
      </c>
      <c r="H207" s="30" t="s">
        <v>304</v>
      </c>
      <c r="I207" s="28" t="s">
        <v>489</v>
      </c>
      <c r="J207" s="30" t="s">
        <v>305</v>
      </c>
      <c r="K207" s="30" t="n">
        <v>70</v>
      </c>
      <c r="L207" s="30" t="n">
        <v>85</v>
      </c>
      <c r="M207" s="30" t="n">
        <v>140</v>
      </c>
      <c r="N207" s="30" t="n">
        <v>85</v>
      </c>
      <c r="O207" s="30" t="n">
        <v>70</v>
      </c>
      <c r="P207" s="30" t="n">
        <v>20</v>
      </c>
      <c r="Q207" s="30" t="n">
        <f aca="false">SUM(K207:P207)</f>
        <v>470</v>
      </c>
      <c r="R207" s="30"/>
      <c r="S207" s="30" t="s">
        <v>797</v>
      </c>
      <c r="T207" s="30"/>
      <c r="U207" s="30" t="n">
        <v>1</v>
      </c>
      <c r="V207" s="16"/>
      <c r="W207" s="16"/>
    </row>
    <row r="208" customFormat="false" ht="13.5" hidden="false" customHeight="true" outlineLevel="0" collapsed="false">
      <c r="A208" s="31" t="n">
        <f aca="false">A207+1</f>
        <v>207</v>
      </c>
      <c r="B208" s="30" t="s">
        <v>798</v>
      </c>
      <c r="C208" s="30" t="s">
        <v>284</v>
      </c>
      <c r="D208" s="30" t="s">
        <v>293</v>
      </c>
      <c r="E208" s="30"/>
      <c r="F208" s="30" t="s">
        <v>298</v>
      </c>
      <c r="G208" s="28" t="s">
        <v>286</v>
      </c>
      <c r="H208" s="30" t="s">
        <v>299</v>
      </c>
      <c r="I208" s="28" t="s">
        <v>286</v>
      </c>
      <c r="J208" s="30" t="s">
        <v>300</v>
      </c>
      <c r="K208" s="30" t="n">
        <v>50</v>
      </c>
      <c r="L208" s="30" t="n">
        <v>30</v>
      </c>
      <c r="M208" s="30" t="n">
        <v>55</v>
      </c>
      <c r="N208" s="30" t="n">
        <v>65</v>
      </c>
      <c r="O208" s="30" t="n">
        <v>55</v>
      </c>
      <c r="P208" s="30" t="n">
        <v>20</v>
      </c>
      <c r="Q208" s="30" t="n">
        <f aca="false">SUM(K208:P208)</f>
        <v>275</v>
      </c>
      <c r="R208" s="30" t="n">
        <v>41</v>
      </c>
      <c r="S208" s="30" t="s">
        <v>586</v>
      </c>
      <c r="T208" s="30"/>
      <c r="U208" s="30"/>
      <c r="V208" s="16"/>
      <c r="W208" s="16"/>
    </row>
    <row r="209" customFormat="false" ht="13.5" hidden="false" customHeight="true" outlineLevel="0" collapsed="false">
      <c r="A209" s="16" t="n">
        <f aca="false">A208+1</f>
        <v>208</v>
      </c>
      <c r="B209" s="16" t="s">
        <v>799</v>
      </c>
      <c r="C209" s="16" t="s">
        <v>284</v>
      </c>
      <c r="D209" s="16" t="s">
        <v>293</v>
      </c>
      <c r="E209" s="16"/>
      <c r="F209" s="16" t="s">
        <v>303</v>
      </c>
      <c r="G209" s="49" t="s">
        <v>286</v>
      </c>
      <c r="H209" s="16" t="s">
        <v>304</v>
      </c>
      <c r="I209" s="49" t="s">
        <v>286</v>
      </c>
      <c r="J209" s="16" t="s">
        <v>305</v>
      </c>
      <c r="K209" s="16" t="n">
        <v>60</v>
      </c>
      <c r="L209" s="16" t="n">
        <v>40</v>
      </c>
      <c r="M209" s="16" t="n">
        <v>60</v>
      </c>
      <c r="N209" s="16" t="n">
        <v>95</v>
      </c>
      <c r="O209" s="16" t="n">
        <v>60</v>
      </c>
      <c r="P209" s="16" t="n">
        <v>55</v>
      </c>
      <c r="Q209" s="16" t="n">
        <f aca="false">SUM(K209:P209)</f>
        <v>370</v>
      </c>
      <c r="R209" s="16" t="s">
        <v>119</v>
      </c>
      <c r="S209" s="16"/>
      <c r="T209" s="16"/>
      <c r="U209" s="16"/>
      <c r="V209" s="16"/>
      <c r="W209" s="16"/>
    </row>
    <row r="210" customFormat="false" ht="13.5" hidden="false" customHeight="true" outlineLevel="0" collapsed="false">
      <c r="A210" s="31" t="n">
        <f aca="false">A209+1</f>
        <v>209</v>
      </c>
      <c r="B210" s="30" t="s">
        <v>800</v>
      </c>
      <c r="C210" s="30" t="s">
        <v>284</v>
      </c>
      <c r="D210" s="30" t="s">
        <v>293</v>
      </c>
      <c r="E210" s="30"/>
      <c r="F210" s="30" t="s">
        <v>309</v>
      </c>
      <c r="G210" s="30" t="str">
        <f aca="false">I207</f>
        <v>20%で相手をやけど</v>
      </c>
      <c r="H210" s="30" t="s">
        <v>310</v>
      </c>
      <c r="I210" s="28" t="s">
        <v>286</v>
      </c>
      <c r="J210" s="30" t="s">
        <v>436</v>
      </c>
      <c r="K210" s="30" t="n">
        <v>60</v>
      </c>
      <c r="L210" s="30" t="n">
        <v>55</v>
      </c>
      <c r="M210" s="30" t="n">
        <v>90</v>
      </c>
      <c r="N210" s="30" t="n">
        <v>145</v>
      </c>
      <c r="O210" s="30" t="n">
        <v>90</v>
      </c>
      <c r="P210" s="30" t="n">
        <v>80</v>
      </c>
      <c r="Q210" s="30" t="n">
        <f aca="false">SUM(K210:P210)</f>
        <v>520</v>
      </c>
      <c r="R210" s="30"/>
      <c r="S210" s="30"/>
      <c r="T210" s="30"/>
      <c r="U210" s="30" t="n">
        <v>1</v>
      </c>
      <c r="V210" s="16"/>
      <c r="W210" s="16"/>
    </row>
    <row r="211" customFormat="false" ht="13.5" hidden="false" customHeight="true" outlineLevel="0" collapsed="false">
      <c r="A211" s="31" t="n">
        <f aca="false">A210+1</f>
        <v>210</v>
      </c>
      <c r="B211" s="30" t="s">
        <v>801</v>
      </c>
      <c r="C211" s="30" t="s">
        <v>328</v>
      </c>
      <c r="D211" s="30" t="s">
        <v>284</v>
      </c>
      <c r="E211" s="30"/>
      <c r="F211" s="30" t="s">
        <v>742</v>
      </c>
      <c r="G211" s="28" t="s">
        <v>286</v>
      </c>
      <c r="H211" s="30" t="s">
        <v>743</v>
      </c>
      <c r="I211" s="28" t="s">
        <v>286</v>
      </c>
      <c r="J211" s="30" t="s">
        <v>556</v>
      </c>
      <c r="K211" s="30" t="n">
        <v>38</v>
      </c>
      <c r="L211" s="30" t="n">
        <v>47</v>
      </c>
      <c r="M211" s="30" t="n">
        <v>35</v>
      </c>
      <c r="N211" s="30" t="n">
        <v>33</v>
      </c>
      <c r="O211" s="30" t="n">
        <v>35</v>
      </c>
      <c r="P211" s="30" t="n">
        <v>57</v>
      </c>
      <c r="Q211" s="30" t="n">
        <f aca="false">SUM(K211:P211)</f>
        <v>245</v>
      </c>
      <c r="R211" s="30" t="n">
        <v>18</v>
      </c>
      <c r="S211" s="30" t="s">
        <v>802</v>
      </c>
      <c r="T211" s="30"/>
      <c r="U211" s="30"/>
      <c r="V211" s="16"/>
      <c r="W211" s="16"/>
    </row>
    <row r="212" customFormat="false" ht="13.5" hidden="false" customHeight="true" outlineLevel="0" collapsed="false">
      <c r="A212" s="31" t="n">
        <f aca="false">A211+1</f>
        <v>211</v>
      </c>
      <c r="B212" s="30" t="s">
        <v>803</v>
      </c>
      <c r="C212" s="30" t="s">
        <v>328</v>
      </c>
      <c r="D212" s="30" t="s">
        <v>284</v>
      </c>
      <c r="E212" s="30"/>
      <c r="F212" s="30" t="s">
        <v>556</v>
      </c>
      <c r="G212" s="28" t="s">
        <v>286</v>
      </c>
      <c r="H212" s="30" t="s">
        <v>557</v>
      </c>
      <c r="I212" s="28" t="s">
        <v>286</v>
      </c>
      <c r="J212" s="30" t="s">
        <v>746</v>
      </c>
      <c r="K212" s="30" t="n">
        <v>68</v>
      </c>
      <c r="L212" s="30" t="n">
        <v>67</v>
      </c>
      <c r="M212" s="30" t="n">
        <v>55</v>
      </c>
      <c r="N212" s="30" t="n">
        <v>43</v>
      </c>
      <c r="O212" s="30" t="n">
        <v>55</v>
      </c>
      <c r="P212" s="30" t="n">
        <v>77</v>
      </c>
      <c r="Q212" s="30" t="n">
        <f aca="false">SUM(K212:P212)</f>
        <v>365</v>
      </c>
      <c r="R212" s="30" t="n">
        <v>38</v>
      </c>
      <c r="S212" s="30"/>
      <c r="T212" s="30"/>
      <c r="U212" s="30"/>
      <c r="V212" s="16"/>
      <c r="W212" s="16"/>
    </row>
    <row r="213" customFormat="false" ht="13.5" hidden="false" customHeight="true" outlineLevel="0" collapsed="false">
      <c r="A213" s="31" t="n">
        <f aca="false">A212+1</f>
        <v>212</v>
      </c>
      <c r="B213" s="30" t="s">
        <v>804</v>
      </c>
      <c r="C213" s="30" t="s">
        <v>328</v>
      </c>
      <c r="D213" s="30" t="s">
        <v>284</v>
      </c>
      <c r="E213" s="30"/>
      <c r="F213" s="30" t="s">
        <v>556</v>
      </c>
      <c r="G213" s="28" t="s">
        <v>805</v>
      </c>
      <c r="H213" s="30" t="s">
        <v>557</v>
      </c>
      <c r="I213" s="28" t="s">
        <v>286</v>
      </c>
      <c r="J213" s="30" t="s">
        <v>698</v>
      </c>
      <c r="K213" s="30" t="n">
        <v>98</v>
      </c>
      <c r="L213" s="30" t="n">
        <v>87</v>
      </c>
      <c r="M213" s="30" t="n">
        <v>105</v>
      </c>
      <c r="N213" s="30" t="n">
        <v>53</v>
      </c>
      <c r="O213" s="30" t="n">
        <v>85</v>
      </c>
      <c r="P213" s="30" t="n">
        <v>67</v>
      </c>
      <c r="Q213" s="30" t="n">
        <f aca="false">SUM(K213:P213)</f>
        <v>495</v>
      </c>
      <c r="R213" s="30"/>
      <c r="S213" s="30"/>
      <c r="T213" s="30"/>
      <c r="U213" s="30" t="n">
        <v>1</v>
      </c>
      <c r="V213" s="16"/>
      <c r="W213" s="16"/>
    </row>
    <row r="214" customFormat="false" ht="13.5" hidden="false" customHeight="true" outlineLevel="0" collapsed="false">
      <c r="A214" s="31" t="n">
        <f aca="false">A213+1</f>
        <v>213</v>
      </c>
      <c r="B214" s="30" t="s">
        <v>806</v>
      </c>
      <c r="C214" s="30" t="s">
        <v>328</v>
      </c>
      <c r="D214" s="30" t="s">
        <v>284</v>
      </c>
      <c r="E214" s="30"/>
      <c r="F214" s="30" t="s">
        <v>556</v>
      </c>
      <c r="G214" s="28" t="s">
        <v>805</v>
      </c>
      <c r="H214" s="30" t="s">
        <v>557</v>
      </c>
      <c r="I214" s="28" t="s">
        <v>807</v>
      </c>
      <c r="J214" s="30" t="s">
        <v>366</v>
      </c>
      <c r="K214" s="30" t="n">
        <v>65</v>
      </c>
      <c r="L214" s="30" t="n">
        <v>80</v>
      </c>
      <c r="M214" s="30" t="n">
        <v>140</v>
      </c>
      <c r="N214" s="30" t="n">
        <v>40</v>
      </c>
      <c r="O214" s="30" t="n">
        <v>70</v>
      </c>
      <c r="P214" s="30" t="n">
        <v>70</v>
      </c>
      <c r="Q214" s="30" t="n">
        <f aca="false">SUM(K214:P214)</f>
        <v>465</v>
      </c>
      <c r="R214" s="30"/>
      <c r="S214" s="30" t="s">
        <v>754</v>
      </c>
      <c r="T214" s="30"/>
      <c r="U214" s="30" t="n">
        <v>1</v>
      </c>
      <c r="V214" s="16"/>
      <c r="W214" s="16"/>
    </row>
    <row r="215" customFormat="false" ht="13.5" hidden="false" customHeight="true" outlineLevel="0" collapsed="false">
      <c r="A215" s="31" t="n">
        <f aca="false">A214+1</f>
        <v>214</v>
      </c>
      <c r="B215" s="30" t="s">
        <v>808</v>
      </c>
      <c r="C215" s="30" t="s">
        <v>328</v>
      </c>
      <c r="D215" s="30" t="s">
        <v>284</v>
      </c>
      <c r="E215" s="30"/>
      <c r="F215" s="30" t="s">
        <v>742</v>
      </c>
      <c r="G215" s="28" t="s">
        <v>286</v>
      </c>
      <c r="H215" s="30" t="s">
        <v>743</v>
      </c>
      <c r="I215" s="28" t="s">
        <v>286</v>
      </c>
      <c r="J215" s="30" t="s">
        <v>556</v>
      </c>
      <c r="K215" s="30" t="n">
        <v>50</v>
      </c>
      <c r="L215" s="30" t="n">
        <v>70</v>
      </c>
      <c r="M215" s="30" t="n">
        <v>100</v>
      </c>
      <c r="N215" s="30" t="n">
        <v>40</v>
      </c>
      <c r="O215" s="30" t="n">
        <v>40</v>
      </c>
      <c r="P215" s="30" t="n">
        <v>30</v>
      </c>
      <c r="Q215" s="30" t="n">
        <f aca="false">SUM(K215:P215)</f>
        <v>330</v>
      </c>
      <c r="R215" s="30" t="n">
        <v>32</v>
      </c>
      <c r="S215" s="30" t="s">
        <v>797</v>
      </c>
      <c r="T215" s="30"/>
      <c r="U215" s="30"/>
      <c r="V215" s="16"/>
      <c r="W215" s="16"/>
    </row>
    <row r="216" customFormat="false" ht="13.5" hidden="false" customHeight="true" outlineLevel="0" collapsed="false">
      <c r="A216" s="31" t="n">
        <f aca="false">A215+1</f>
        <v>215</v>
      </c>
      <c r="B216" s="30" t="s">
        <v>809</v>
      </c>
      <c r="C216" s="30" t="s">
        <v>328</v>
      </c>
      <c r="D216" s="30" t="s">
        <v>284</v>
      </c>
      <c r="E216" s="30"/>
      <c r="F216" s="30" t="s">
        <v>556</v>
      </c>
      <c r="G216" s="28" t="s">
        <v>286</v>
      </c>
      <c r="H216" s="30" t="s">
        <v>557</v>
      </c>
      <c r="I216" s="28" t="s">
        <v>286</v>
      </c>
      <c r="J216" s="30" t="s">
        <v>746</v>
      </c>
      <c r="K216" s="30" t="n">
        <v>60</v>
      </c>
      <c r="L216" s="30" t="n">
        <v>90</v>
      </c>
      <c r="M216" s="30" t="n">
        <v>140</v>
      </c>
      <c r="N216" s="30" t="n">
        <v>50</v>
      </c>
      <c r="O216" s="30" t="n">
        <v>50</v>
      </c>
      <c r="P216" s="30" t="n">
        <v>40</v>
      </c>
      <c r="Q216" s="30" t="n">
        <f aca="false">SUM(K216:P216)</f>
        <v>430</v>
      </c>
      <c r="R216" s="30" t="n">
        <v>42</v>
      </c>
      <c r="S216" s="30"/>
      <c r="T216" s="30"/>
      <c r="U216" s="30"/>
      <c r="V216" s="16"/>
      <c r="W216" s="16"/>
    </row>
    <row r="217" customFormat="false" ht="13.5" hidden="false" customHeight="true" outlineLevel="0" collapsed="false">
      <c r="A217" s="31" t="n">
        <f aca="false">A216+1</f>
        <v>216</v>
      </c>
      <c r="B217" s="30" t="s">
        <v>810</v>
      </c>
      <c r="C217" s="30" t="s">
        <v>328</v>
      </c>
      <c r="D217" s="30" t="s">
        <v>284</v>
      </c>
      <c r="E217" s="30"/>
      <c r="F217" s="30" t="s">
        <v>556</v>
      </c>
      <c r="G217" s="28" t="s">
        <v>286</v>
      </c>
      <c r="H217" s="30" t="s">
        <v>557</v>
      </c>
      <c r="I217" s="30" t="str">
        <f aca="false">I129</f>
        <v>20%で相手のとくこうを1段階下げる</v>
      </c>
      <c r="J217" s="30" t="s">
        <v>811</v>
      </c>
      <c r="K217" s="30" t="n">
        <v>70</v>
      </c>
      <c r="L217" s="30" t="n">
        <v>110</v>
      </c>
      <c r="M217" s="30" t="n">
        <v>180</v>
      </c>
      <c r="N217" s="30" t="n">
        <v>60</v>
      </c>
      <c r="O217" s="30" t="n">
        <v>60</v>
      </c>
      <c r="P217" s="30" t="n">
        <v>50</v>
      </c>
      <c r="Q217" s="30" t="n">
        <f aca="false">SUM(K217:P217)</f>
        <v>530</v>
      </c>
      <c r="R217" s="30"/>
      <c r="S217" s="30"/>
      <c r="T217" s="30"/>
      <c r="U217" s="30" t="n">
        <v>1</v>
      </c>
      <c r="V217" s="16"/>
      <c r="W217" s="16"/>
    </row>
    <row r="218" customFormat="false" ht="13.5" hidden="false" customHeight="true" outlineLevel="0" collapsed="false">
      <c r="A218" s="31" t="n">
        <f aca="false">A217+1</f>
        <v>217</v>
      </c>
      <c r="B218" s="30" t="s">
        <v>812</v>
      </c>
      <c r="C218" s="30" t="s">
        <v>328</v>
      </c>
      <c r="D218" s="30" t="s">
        <v>284</v>
      </c>
      <c r="E218" s="30"/>
      <c r="F218" s="30" t="s">
        <v>742</v>
      </c>
      <c r="G218" s="28" t="s">
        <v>286</v>
      </c>
      <c r="H218" s="30" t="s">
        <v>743</v>
      </c>
      <c r="I218" s="28" t="s">
        <v>286</v>
      </c>
      <c r="J218" s="30" t="s">
        <v>556</v>
      </c>
      <c r="K218" s="30" t="n">
        <v>57</v>
      </c>
      <c r="L218" s="30" t="n">
        <v>24</v>
      </c>
      <c r="M218" s="30" t="n">
        <v>86</v>
      </c>
      <c r="N218" s="30" t="n">
        <v>24</v>
      </c>
      <c r="O218" s="30" t="n">
        <v>86</v>
      </c>
      <c r="P218" s="30" t="n">
        <v>23</v>
      </c>
      <c r="Q218" s="30" t="n">
        <f aca="false">SUM(K218:P218)</f>
        <v>300</v>
      </c>
      <c r="R218" s="30" t="n">
        <v>33</v>
      </c>
      <c r="S218" s="30" t="s">
        <v>813</v>
      </c>
      <c r="T218" s="30"/>
      <c r="U218" s="30"/>
      <c r="V218" s="16"/>
      <c r="W218" s="16"/>
    </row>
    <row r="219" customFormat="false" ht="13.5" hidden="false" customHeight="true" outlineLevel="0" collapsed="false">
      <c r="A219" s="31" t="n">
        <f aca="false">A218+1</f>
        <v>218</v>
      </c>
      <c r="B219" s="30" t="s">
        <v>814</v>
      </c>
      <c r="C219" s="30" t="s">
        <v>328</v>
      </c>
      <c r="D219" s="30" t="s">
        <v>284</v>
      </c>
      <c r="E219" s="30" t="s">
        <v>815</v>
      </c>
      <c r="F219" s="30" t="s">
        <v>556</v>
      </c>
      <c r="G219" s="28" t="s">
        <v>805</v>
      </c>
      <c r="H219" s="30" t="s">
        <v>557</v>
      </c>
      <c r="I219" s="28" t="s">
        <v>807</v>
      </c>
      <c r="J219" s="30" t="s">
        <v>811</v>
      </c>
      <c r="K219" s="30" t="n">
        <v>67</v>
      </c>
      <c r="L219" s="30" t="n">
        <v>89</v>
      </c>
      <c r="M219" s="30" t="n">
        <v>116</v>
      </c>
      <c r="N219" s="30" t="n">
        <v>79</v>
      </c>
      <c r="O219" s="30" t="n">
        <v>116</v>
      </c>
      <c r="P219" s="30" t="n">
        <v>33</v>
      </c>
      <c r="Q219" s="30" t="n">
        <f aca="false">SUM(K219:P219)</f>
        <v>500</v>
      </c>
      <c r="R219" s="30"/>
      <c r="S219" s="30"/>
      <c r="T219" s="30"/>
      <c r="U219" s="30" t="n">
        <v>1</v>
      </c>
      <c r="V219" s="16"/>
      <c r="W219" s="16"/>
    </row>
    <row r="220" customFormat="false" ht="13.5" hidden="false" customHeight="true" outlineLevel="0" collapsed="false">
      <c r="A220" s="31" t="n">
        <f aca="false">A219+1</f>
        <v>219</v>
      </c>
      <c r="B220" s="30" t="s">
        <v>816</v>
      </c>
      <c r="C220" s="30" t="s">
        <v>301</v>
      </c>
      <c r="D220" s="30" t="s">
        <v>306</v>
      </c>
      <c r="E220" s="30"/>
      <c r="F220" s="30" t="s">
        <v>394</v>
      </c>
      <c r="G220" s="28" t="s">
        <v>286</v>
      </c>
      <c r="H220" s="30" t="s">
        <v>548</v>
      </c>
      <c r="I220" s="28" t="s">
        <v>286</v>
      </c>
      <c r="J220" s="30" t="s">
        <v>549</v>
      </c>
      <c r="K220" s="30" t="n">
        <v>75</v>
      </c>
      <c r="L220" s="30" t="n">
        <v>38</v>
      </c>
      <c r="M220" s="30" t="n">
        <v>38</v>
      </c>
      <c r="N220" s="30" t="n">
        <v>56</v>
      </c>
      <c r="O220" s="30" t="n">
        <v>56</v>
      </c>
      <c r="P220" s="30" t="n">
        <v>67</v>
      </c>
      <c r="Q220" s="30" t="n">
        <f aca="false">SUM(K220:P220)</f>
        <v>330</v>
      </c>
      <c r="R220" s="30" t="n">
        <v>27</v>
      </c>
      <c r="S220" s="30" t="s">
        <v>754</v>
      </c>
      <c r="T220" s="30"/>
      <c r="U220" s="30"/>
      <c r="V220" s="16"/>
      <c r="W220" s="16"/>
    </row>
    <row r="221" customFormat="false" ht="13.5" hidden="false" customHeight="true" outlineLevel="0" collapsed="false">
      <c r="A221" s="31" t="n">
        <f aca="false">A220+1</f>
        <v>220</v>
      </c>
      <c r="B221" s="30" t="s">
        <v>817</v>
      </c>
      <c r="C221" s="30" t="s">
        <v>301</v>
      </c>
      <c r="D221" s="30" t="s">
        <v>306</v>
      </c>
      <c r="E221" s="30"/>
      <c r="F221" s="30" t="s">
        <v>552</v>
      </c>
      <c r="G221" s="28" t="s">
        <v>818</v>
      </c>
      <c r="H221" s="28" t="s">
        <v>401</v>
      </c>
      <c r="I221" s="28" t="s">
        <v>395</v>
      </c>
      <c r="J221" s="30" t="s">
        <v>553</v>
      </c>
      <c r="K221" s="30" t="n">
        <v>125</v>
      </c>
      <c r="L221" s="30" t="n">
        <v>58</v>
      </c>
      <c r="M221" s="30" t="n">
        <v>58</v>
      </c>
      <c r="N221" s="30" t="n">
        <v>76</v>
      </c>
      <c r="O221" s="30" t="n">
        <v>76</v>
      </c>
      <c r="P221" s="30" t="n">
        <v>67</v>
      </c>
      <c r="Q221" s="30" t="n">
        <f aca="false">SUM(K221:P221)</f>
        <v>460</v>
      </c>
      <c r="R221" s="30"/>
      <c r="S221" s="30"/>
      <c r="T221" s="30"/>
      <c r="U221" s="30" t="n">
        <v>1</v>
      </c>
      <c r="V221" s="16"/>
      <c r="W221" s="16"/>
    </row>
    <row r="222" customFormat="false" ht="13.5" hidden="false" customHeight="true" outlineLevel="0" collapsed="false">
      <c r="A222" s="31" t="n">
        <f aca="false">A221+1</f>
        <v>221</v>
      </c>
      <c r="B222" s="30" t="s">
        <v>819</v>
      </c>
      <c r="C222" s="30" t="s">
        <v>301</v>
      </c>
      <c r="D222" s="30" t="s">
        <v>306</v>
      </c>
      <c r="E222" s="30"/>
      <c r="F222" s="30" t="s">
        <v>394</v>
      </c>
      <c r="G222" s="28" t="s">
        <v>286</v>
      </c>
      <c r="H222" s="30" t="s">
        <v>548</v>
      </c>
      <c r="I222" s="28" t="s">
        <v>286</v>
      </c>
      <c r="J222" s="30" t="s">
        <v>549</v>
      </c>
      <c r="K222" s="30" t="n">
        <v>55</v>
      </c>
      <c r="L222" s="30" t="n">
        <v>40</v>
      </c>
      <c r="M222" s="30" t="n">
        <v>40</v>
      </c>
      <c r="N222" s="30" t="n">
        <v>65</v>
      </c>
      <c r="O222" s="30" t="n">
        <v>45</v>
      </c>
      <c r="P222" s="30" t="n">
        <v>35</v>
      </c>
      <c r="Q222" s="30" t="n">
        <f aca="false">SUM(K222:P222)</f>
        <v>280</v>
      </c>
      <c r="R222" s="30" t="n">
        <v>15</v>
      </c>
      <c r="S222" s="30" t="s">
        <v>820</v>
      </c>
      <c r="T222" s="30"/>
      <c r="U222" s="30"/>
      <c r="V222" s="16"/>
      <c r="W222" s="16"/>
    </row>
    <row r="223" customFormat="false" ht="13.5" hidden="false" customHeight="true" outlineLevel="0" collapsed="false">
      <c r="A223" s="31" t="n">
        <f aca="false">A222+1</f>
        <v>222</v>
      </c>
      <c r="B223" s="30" t="s">
        <v>821</v>
      </c>
      <c r="C223" s="30" t="s">
        <v>301</v>
      </c>
      <c r="D223" s="30" t="s">
        <v>306</v>
      </c>
      <c r="E223" s="30"/>
      <c r="F223" s="30" t="s">
        <v>552</v>
      </c>
      <c r="G223" s="28" t="s">
        <v>286</v>
      </c>
      <c r="H223" s="28" t="s">
        <v>401</v>
      </c>
      <c r="I223" s="28" t="s">
        <v>286</v>
      </c>
      <c r="J223" s="30" t="s">
        <v>553</v>
      </c>
      <c r="K223" s="30" t="n">
        <v>70</v>
      </c>
      <c r="L223" s="30" t="n">
        <v>55</v>
      </c>
      <c r="M223" s="30" t="n">
        <v>55</v>
      </c>
      <c r="N223" s="30" t="n">
        <v>80</v>
      </c>
      <c r="O223" s="30" t="n">
        <v>60</v>
      </c>
      <c r="P223" s="30" t="n">
        <v>45</v>
      </c>
      <c r="Q223" s="30" t="n">
        <f aca="false">SUM(K223:P223)</f>
        <v>365</v>
      </c>
      <c r="R223" s="30" t="n">
        <v>30</v>
      </c>
      <c r="S223" s="30"/>
      <c r="T223" s="30"/>
      <c r="U223" s="30"/>
      <c r="V223" s="16"/>
      <c r="W223" s="16"/>
    </row>
    <row r="224" customFormat="false" ht="13.5" hidden="false" customHeight="true" outlineLevel="0" collapsed="false">
      <c r="A224" s="31" t="n">
        <f aca="false">A223+1</f>
        <v>223</v>
      </c>
      <c r="B224" s="30" t="s">
        <v>822</v>
      </c>
      <c r="C224" s="30" t="s">
        <v>301</v>
      </c>
      <c r="D224" s="30" t="s">
        <v>306</v>
      </c>
      <c r="E224" s="30"/>
      <c r="F224" s="30" t="s">
        <v>400</v>
      </c>
      <c r="G224" s="28" t="s">
        <v>286</v>
      </c>
      <c r="H224" s="28" t="s">
        <v>401</v>
      </c>
      <c r="I224" s="28" t="s">
        <v>286</v>
      </c>
      <c r="J224" s="30" t="s">
        <v>402</v>
      </c>
      <c r="K224" s="30" t="n">
        <v>90</v>
      </c>
      <c r="L224" s="30" t="n">
        <v>75</v>
      </c>
      <c r="M224" s="30" t="n">
        <v>85</v>
      </c>
      <c r="N224" s="30" t="n">
        <v>115</v>
      </c>
      <c r="O224" s="30" t="n">
        <v>90</v>
      </c>
      <c r="P224" s="30" t="n">
        <v>55</v>
      </c>
      <c r="Q224" s="30" t="n">
        <f aca="false">SUM(K224:P224)</f>
        <v>510</v>
      </c>
      <c r="R224" s="30"/>
      <c r="S224" s="30"/>
      <c r="T224" s="30"/>
      <c r="U224" s="30" t="n">
        <v>1</v>
      </c>
      <c r="V224" s="16"/>
      <c r="W224" s="16"/>
    </row>
    <row r="225" customFormat="false" ht="13.5" hidden="false" customHeight="true" outlineLevel="0" collapsed="false">
      <c r="A225" s="31" t="n">
        <f aca="false">A224+1</f>
        <v>224</v>
      </c>
      <c r="B225" s="30" t="s">
        <v>823</v>
      </c>
      <c r="C225" s="30" t="s">
        <v>301</v>
      </c>
      <c r="D225" s="30" t="s">
        <v>306</v>
      </c>
      <c r="E225" s="30"/>
      <c r="F225" s="30" t="s">
        <v>400</v>
      </c>
      <c r="G225" s="28" t="s">
        <v>286</v>
      </c>
      <c r="H225" s="28" t="s">
        <v>401</v>
      </c>
      <c r="I225" s="28" t="s">
        <v>286</v>
      </c>
      <c r="J225" s="30" t="s">
        <v>824</v>
      </c>
      <c r="K225" s="30" t="n">
        <v>88</v>
      </c>
      <c r="L225" s="30" t="n">
        <v>112</v>
      </c>
      <c r="M225" s="30" t="n">
        <v>75</v>
      </c>
      <c r="N225" s="30" t="n">
        <v>102</v>
      </c>
      <c r="O225" s="30" t="n">
        <v>80</v>
      </c>
      <c r="P225" s="30" t="n">
        <v>143</v>
      </c>
      <c r="Q225" s="30" t="n">
        <f aca="false">SUM(K225:P225)</f>
        <v>600</v>
      </c>
      <c r="R225" s="30"/>
      <c r="S225" s="30"/>
      <c r="T225" s="30"/>
      <c r="U225" s="30" t="n">
        <v>1</v>
      </c>
      <c r="V225" s="16"/>
      <c r="W225" s="16"/>
    </row>
    <row r="226" customFormat="false" ht="16.5" hidden="false" customHeight="true" outlineLevel="0" collapsed="false">
      <c r="A226" s="31" t="n">
        <f aca="false">A225+1</f>
        <v>225</v>
      </c>
      <c r="B226" s="30" t="s">
        <v>825</v>
      </c>
      <c r="C226" s="30" t="s">
        <v>301</v>
      </c>
      <c r="D226" s="30" t="s">
        <v>306</v>
      </c>
      <c r="E226" s="30"/>
      <c r="F226" s="30" t="s">
        <v>394</v>
      </c>
      <c r="G226" s="28" t="s">
        <v>286</v>
      </c>
      <c r="H226" s="30" t="s">
        <v>548</v>
      </c>
      <c r="I226" s="28" t="s">
        <v>286</v>
      </c>
      <c r="J226" s="30" t="s">
        <v>549</v>
      </c>
      <c r="K226" s="30" t="n">
        <v>45</v>
      </c>
      <c r="L226" s="30" t="n">
        <v>50</v>
      </c>
      <c r="M226" s="30" t="n">
        <v>40</v>
      </c>
      <c r="N226" s="30" t="n">
        <v>40</v>
      </c>
      <c r="O226" s="30" t="n">
        <v>50</v>
      </c>
      <c r="P226" s="30" t="n">
        <v>60</v>
      </c>
      <c r="Q226" s="30" t="n">
        <f aca="false">SUM(K226:P226)</f>
        <v>285</v>
      </c>
      <c r="R226" s="30" t="n">
        <v>18</v>
      </c>
      <c r="S226" s="30" t="s">
        <v>826</v>
      </c>
      <c r="T226" s="30"/>
      <c r="U226" s="30"/>
      <c r="V226" s="16"/>
      <c r="W226" s="16"/>
    </row>
    <row r="227" customFormat="false" ht="13.5" hidden="false" customHeight="true" outlineLevel="0" collapsed="false">
      <c r="A227" s="31" t="n">
        <f aca="false">A226+1</f>
        <v>226</v>
      </c>
      <c r="B227" s="30" t="s">
        <v>827</v>
      </c>
      <c r="C227" s="30" t="s">
        <v>301</v>
      </c>
      <c r="D227" s="30" t="s">
        <v>306</v>
      </c>
      <c r="E227" s="30"/>
      <c r="F227" s="30" t="s">
        <v>552</v>
      </c>
      <c r="G227" s="28" t="s">
        <v>286</v>
      </c>
      <c r="H227" s="28" t="s">
        <v>401</v>
      </c>
      <c r="I227" s="28" t="s">
        <v>286</v>
      </c>
      <c r="J227" s="30" t="s">
        <v>553</v>
      </c>
      <c r="K227" s="30" t="n">
        <v>60</v>
      </c>
      <c r="L227" s="30" t="n">
        <v>75</v>
      </c>
      <c r="M227" s="30" t="n">
        <v>40</v>
      </c>
      <c r="N227" s="30" t="n">
        <v>50</v>
      </c>
      <c r="O227" s="30" t="n">
        <v>60</v>
      </c>
      <c r="P227" s="30" t="n">
        <v>95</v>
      </c>
      <c r="Q227" s="30" t="n">
        <f aca="false">SUM(K227:P227)</f>
        <v>380</v>
      </c>
      <c r="R227" s="30" t="s">
        <v>444</v>
      </c>
      <c r="S227" s="30"/>
      <c r="T227" s="30"/>
      <c r="U227" s="30"/>
      <c r="V227" s="16"/>
      <c r="W227" s="16"/>
    </row>
    <row r="228" customFormat="false" ht="13.5" hidden="false" customHeight="true" outlineLevel="0" collapsed="false">
      <c r="A228" s="31" t="n">
        <f aca="false">A227+1</f>
        <v>227</v>
      </c>
      <c r="B228" s="30" t="s">
        <v>828</v>
      </c>
      <c r="C228" s="30" t="s">
        <v>301</v>
      </c>
      <c r="D228" s="30" t="s">
        <v>306</v>
      </c>
      <c r="E228" s="30"/>
      <c r="F228" s="30" t="s">
        <v>400</v>
      </c>
      <c r="G228" s="28" t="s">
        <v>286</v>
      </c>
      <c r="H228" s="28" t="s">
        <v>401</v>
      </c>
      <c r="I228" s="28" t="s">
        <v>395</v>
      </c>
      <c r="J228" s="30" t="s">
        <v>402</v>
      </c>
      <c r="K228" s="30" t="n">
        <v>70</v>
      </c>
      <c r="L228" s="30" t="n">
        <v>115</v>
      </c>
      <c r="M228" s="30" t="n">
        <v>70</v>
      </c>
      <c r="N228" s="30" t="n">
        <v>80</v>
      </c>
      <c r="O228" s="30" t="n">
        <v>60</v>
      </c>
      <c r="P228" s="30" t="n">
        <v>105</v>
      </c>
      <c r="Q228" s="30" t="n">
        <f aca="false">SUM(K228:P228)</f>
        <v>500</v>
      </c>
      <c r="R228" s="30"/>
      <c r="S228" s="30"/>
      <c r="T228" s="30"/>
      <c r="U228" s="30" t="n">
        <v>1</v>
      </c>
      <c r="V228" s="16"/>
      <c r="W228" s="16"/>
    </row>
    <row r="229" customFormat="false" ht="13.5" hidden="false" customHeight="true" outlineLevel="0" collapsed="false">
      <c r="A229" s="31" t="n">
        <f aca="false">A228+1</f>
        <v>228</v>
      </c>
      <c r="B229" s="30" t="s">
        <v>829</v>
      </c>
      <c r="C229" s="30" t="s">
        <v>317</v>
      </c>
      <c r="D229" s="30" t="s">
        <v>306</v>
      </c>
      <c r="E229" s="30"/>
      <c r="F229" s="30" t="s">
        <v>682</v>
      </c>
      <c r="G229" s="30" t="s">
        <v>380</v>
      </c>
      <c r="H229" s="30" t="s">
        <v>683</v>
      </c>
      <c r="I229" s="28" t="s">
        <v>440</v>
      </c>
      <c r="J229" s="30" t="s">
        <v>730</v>
      </c>
      <c r="K229" s="30" t="n">
        <v>65</v>
      </c>
      <c r="L229" s="30" t="n">
        <v>130</v>
      </c>
      <c r="M229" s="30" t="n">
        <v>60</v>
      </c>
      <c r="N229" s="30" t="n">
        <v>75</v>
      </c>
      <c r="O229" s="30" t="n">
        <v>60</v>
      </c>
      <c r="P229" s="30" t="n">
        <v>75</v>
      </c>
      <c r="Q229" s="30" t="n">
        <f aca="false">SUM(K229:P229)</f>
        <v>465</v>
      </c>
      <c r="R229" s="30"/>
      <c r="S229" s="30" t="s">
        <v>797</v>
      </c>
      <c r="T229" s="30"/>
      <c r="U229" s="30" t="n">
        <v>1</v>
      </c>
      <c r="V229" s="16"/>
      <c r="W229" s="16"/>
    </row>
    <row r="230" customFormat="false" ht="13.5" hidden="false" customHeight="true" outlineLevel="0" collapsed="false">
      <c r="A230" s="31" t="n">
        <f aca="false">A229+1</f>
        <v>229</v>
      </c>
      <c r="B230" s="30" t="s">
        <v>830</v>
      </c>
      <c r="C230" s="30" t="s">
        <v>317</v>
      </c>
      <c r="D230" s="30" t="s">
        <v>306</v>
      </c>
      <c r="E230" s="30"/>
      <c r="F230" s="30" t="s">
        <v>682</v>
      </c>
      <c r="G230" s="28" t="s">
        <v>286</v>
      </c>
      <c r="H230" s="30" t="s">
        <v>683</v>
      </c>
      <c r="I230" s="28" t="s">
        <v>286</v>
      </c>
      <c r="J230" s="30" t="s">
        <v>730</v>
      </c>
      <c r="K230" s="30" t="n">
        <v>55</v>
      </c>
      <c r="L230" s="30" t="n">
        <v>95</v>
      </c>
      <c r="M230" s="30" t="n">
        <v>55</v>
      </c>
      <c r="N230" s="30" t="n">
        <v>35</v>
      </c>
      <c r="O230" s="30" t="n">
        <v>75</v>
      </c>
      <c r="P230" s="30" t="n">
        <v>115</v>
      </c>
      <c r="Q230" s="30" t="n">
        <f aca="false">SUM(K230:P230)</f>
        <v>430</v>
      </c>
      <c r="R230" s="30" t="n">
        <v>40</v>
      </c>
      <c r="S230" s="30" t="s">
        <v>831</v>
      </c>
      <c r="T230" s="30"/>
      <c r="U230" s="30"/>
      <c r="V230" s="16"/>
      <c r="W230" s="16"/>
    </row>
    <row r="231" customFormat="false" ht="13.5" hidden="false" customHeight="true" outlineLevel="0" collapsed="false">
      <c r="A231" s="31" t="n">
        <f aca="false">A230+1</f>
        <v>230</v>
      </c>
      <c r="B231" s="30" t="s">
        <v>832</v>
      </c>
      <c r="C231" s="30" t="s">
        <v>317</v>
      </c>
      <c r="D231" s="30" t="s">
        <v>306</v>
      </c>
      <c r="E231" s="30" t="s">
        <v>833</v>
      </c>
      <c r="F231" s="30" t="s">
        <v>682</v>
      </c>
      <c r="G231" s="28" t="s">
        <v>286</v>
      </c>
      <c r="H231" s="30" t="s">
        <v>683</v>
      </c>
      <c r="I231" s="28" t="s">
        <v>286</v>
      </c>
      <c r="J231" s="30" t="s">
        <v>684</v>
      </c>
      <c r="K231" s="30" t="n">
        <v>70</v>
      </c>
      <c r="L231" s="30" t="n">
        <v>120</v>
      </c>
      <c r="M231" s="30" t="n">
        <v>65</v>
      </c>
      <c r="N231" s="30" t="n">
        <v>45</v>
      </c>
      <c r="O231" s="30" t="n">
        <v>85</v>
      </c>
      <c r="P231" s="30" t="n">
        <v>125</v>
      </c>
      <c r="Q231" s="30" t="n">
        <f aca="false">SUM(K231:P231)</f>
        <v>510</v>
      </c>
      <c r="R231" s="30"/>
      <c r="S231" s="30"/>
      <c r="T231" s="30"/>
      <c r="U231" s="30" t="n">
        <v>1</v>
      </c>
      <c r="V231" s="16"/>
      <c r="W231" s="16"/>
    </row>
    <row r="232" customFormat="false" ht="16.5" hidden="false" customHeight="true" outlineLevel="0" collapsed="false">
      <c r="A232" s="31" t="n">
        <f aca="false">A231+1</f>
        <v>231</v>
      </c>
      <c r="B232" s="30" t="s">
        <v>834</v>
      </c>
      <c r="C232" s="30" t="s">
        <v>317</v>
      </c>
      <c r="D232" s="30" t="s">
        <v>306</v>
      </c>
      <c r="E232" s="30"/>
      <c r="F232" s="30" t="s">
        <v>725</v>
      </c>
      <c r="G232" s="28" t="s">
        <v>286</v>
      </c>
      <c r="H232" s="30" t="s">
        <v>726</v>
      </c>
      <c r="I232" s="28" t="s">
        <v>286</v>
      </c>
      <c r="J232" s="30" t="s">
        <v>727</v>
      </c>
      <c r="K232" s="30" t="n">
        <v>41</v>
      </c>
      <c r="L232" s="30" t="n">
        <v>50</v>
      </c>
      <c r="M232" s="30" t="n">
        <v>37</v>
      </c>
      <c r="N232" s="30" t="n">
        <v>50</v>
      </c>
      <c r="O232" s="30" t="n">
        <v>37</v>
      </c>
      <c r="P232" s="30" t="n">
        <v>66</v>
      </c>
      <c r="Q232" s="30" t="n">
        <f aca="false">SUM(K232:P232)</f>
        <v>281</v>
      </c>
      <c r="R232" s="30" t="n">
        <v>20</v>
      </c>
      <c r="S232" s="30" t="s">
        <v>835</v>
      </c>
      <c r="T232" s="30"/>
      <c r="U232" s="30"/>
      <c r="V232" s="16"/>
      <c r="W232" s="16"/>
    </row>
    <row r="233" customFormat="false" ht="13.5" hidden="false" customHeight="true" outlineLevel="0" collapsed="false">
      <c r="A233" s="31" t="n">
        <f aca="false">A232+1</f>
        <v>232</v>
      </c>
      <c r="B233" s="30" t="s">
        <v>836</v>
      </c>
      <c r="C233" s="30" t="s">
        <v>317</v>
      </c>
      <c r="D233" s="30" t="s">
        <v>306</v>
      </c>
      <c r="E233" s="30" t="s">
        <v>837</v>
      </c>
      <c r="F233" s="30" t="s">
        <v>682</v>
      </c>
      <c r="G233" s="30" t="s">
        <v>380</v>
      </c>
      <c r="H233" s="30" t="s">
        <v>683</v>
      </c>
      <c r="I233" s="30" t="str">
        <f aca="false">I234</f>
        <v>20%で相手のこうげきを1段階下げる</v>
      </c>
      <c r="J233" s="30" t="s">
        <v>730</v>
      </c>
      <c r="K233" s="30" t="n">
        <v>64</v>
      </c>
      <c r="L233" s="30" t="n">
        <v>88</v>
      </c>
      <c r="M233" s="30" t="n">
        <v>50</v>
      </c>
      <c r="N233" s="30" t="n">
        <v>88</v>
      </c>
      <c r="O233" s="30" t="n">
        <v>50</v>
      </c>
      <c r="P233" s="30" t="n">
        <v>106</v>
      </c>
      <c r="Q233" s="30" t="n">
        <f aca="false">SUM(K233:P233)</f>
        <v>446</v>
      </c>
      <c r="R233" s="30"/>
      <c r="S233" s="30"/>
      <c r="T233" s="30"/>
      <c r="U233" s="30" t="n">
        <v>1</v>
      </c>
      <c r="V233" s="16"/>
      <c r="W233" s="16"/>
    </row>
    <row r="234" customFormat="false" ht="13.5" hidden="false" customHeight="true" outlineLevel="0" collapsed="false">
      <c r="A234" s="31" t="n">
        <f aca="false">A233+1</f>
        <v>233</v>
      </c>
      <c r="B234" s="30" t="s">
        <v>838</v>
      </c>
      <c r="C234" s="30" t="s">
        <v>317</v>
      </c>
      <c r="D234" s="30" t="s">
        <v>306</v>
      </c>
      <c r="E234" s="30"/>
      <c r="F234" s="30" t="s">
        <v>682</v>
      </c>
      <c r="G234" s="30" t="s">
        <v>380</v>
      </c>
      <c r="H234" s="30" t="s">
        <v>683</v>
      </c>
      <c r="I234" s="28" t="s">
        <v>440</v>
      </c>
      <c r="J234" s="30" t="s">
        <v>684</v>
      </c>
      <c r="K234" s="30" t="n">
        <v>50</v>
      </c>
      <c r="L234" s="30" t="n">
        <v>92</v>
      </c>
      <c r="M234" s="30" t="n">
        <v>108</v>
      </c>
      <c r="N234" s="30" t="n">
        <v>92</v>
      </c>
      <c r="O234" s="30" t="n">
        <v>108</v>
      </c>
      <c r="P234" s="30" t="n">
        <v>35</v>
      </c>
      <c r="Q234" s="30" t="n">
        <f aca="false">SUM(K234:P234)</f>
        <v>485</v>
      </c>
      <c r="R234" s="30"/>
      <c r="S234" s="30" t="s">
        <v>813</v>
      </c>
      <c r="T234" s="30"/>
      <c r="U234" s="30" t="n">
        <v>1</v>
      </c>
      <c r="V234" s="16"/>
      <c r="W234" s="16"/>
    </row>
    <row r="235" customFormat="false" ht="13.5" hidden="false" customHeight="true" outlineLevel="0" collapsed="false">
      <c r="A235" s="31" t="n">
        <f aca="false">A234+1</f>
        <v>234</v>
      </c>
      <c r="B235" s="30" t="s">
        <v>839</v>
      </c>
      <c r="C235" s="30" t="s">
        <v>322</v>
      </c>
      <c r="D235" s="30" t="s">
        <v>328</v>
      </c>
      <c r="E235" s="30" t="s">
        <v>840</v>
      </c>
      <c r="F235" s="30" t="s">
        <v>425</v>
      </c>
      <c r="G235" s="28" t="s">
        <v>440</v>
      </c>
      <c r="H235" s="30" t="s">
        <v>427</v>
      </c>
      <c r="I235" s="28" t="s">
        <v>286</v>
      </c>
      <c r="J235" s="30" t="s">
        <v>431</v>
      </c>
      <c r="K235" s="30" t="n">
        <v>55</v>
      </c>
      <c r="L235" s="30" t="n">
        <v>90</v>
      </c>
      <c r="M235" s="30" t="n">
        <v>80</v>
      </c>
      <c r="N235" s="30" t="n">
        <v>50</v>
      </c>
      <c r="O235" s="30" t="n">
        <v>105</v>
      </c>
      <c r="P235" s="30" t="n">
        <v>96</v>
      </c>
      <c r="Q235" s="30" t="n">
        <f aca="false">SUM(K235:P235)</f>
        <v>476</v>
      </c>
      <c r="R235" s="30"/>
      <c r="S235" s="30"/>
      <c r="T235" s="30"/>
      <c r="U235" s="30" t="n">
        <v>1</v>
      </c>
      <c r="V235" s="16"/>
      <c r="W235" s="16"/>
    </row>
    <row r="236" customFormat="false" ht="13.5" hidden="false" customHeight="true" outlineLevel="0" collapsed="false">
      <c r="A236" s="31" t="n">
        <f aca="false">A235+1</f>
        <v>235</v>
      </c>
      <c r="B236" s="30" t="s">
        <v>841</v>
      </c>
      <c r="C236" s="30" t="s">
        <v>322</v>
      </c>
      <c r="D236" s="30" t="s">
        <v>328</v>
      </c>
      <c r="E236" s="30"/>
      <c r="F236" s="30" t="s">
        <v>425</v>
      </c>
      <c r="G236" s="28" t="s">
        <v>286</v>
      </c>
      <c r="H236" s="30" t="s">
        <v>426</v>
      </c>
      <c r="I236" s="28" t="s">
        <v>286</v>
      </c>
      <c r="J236" s="30" t="s">
        <v>427</v>
      </c>
      <c r="K236" s="30" t="n">
        <v>70</v>
      </c>
      <c r="L236" s="30" t="n">
        <v>20</v>
      </c>
      <c r="M236" s="30" t="n">
        <v>50</v>
      </c>
      <c r="N236" s="30" t="n">
        <v>20</v>
      </c>
      <c r="O236" s="30" t="n">
        <v>50</v>
      </c>
      <c r="P236" s="30" t="n">
        <v>40</v>
      </c>
      <c r="Q236" s="30" t="n">
        <f aca="false">SUM(K236:P236)</f>
        <v>250</v>
      </c>
      <c r="R236" s="30" t="n">
        <v>18</v>
      </c>
      <c r="S236" s="30" t="s">
        <v>754</v>
      </c>
      <c r="T236" s="30"/>
      <c r="U236" s="30"/>
      <c r="V236" s="16"/>
      <c r="W236" s="16"/>
    </row>
    <row r="237" customFormat="false" ht="13.5" hidden="false" customHeight="true" outlineLevel="0" collapsed="false">
      <c r="A237" s="31" t="n">
        <f aca="false">A236+1</f>
        <v>236</v>
      </c>
      <c r="B237" s="30" t="s">
        <v>842</v>
      </c>
      <c r="C237" s="30" t="s">
        <v>322</v>
      </c>
      <c r="D237" s="30" t="s">
        <v>328</v>
      </c>
      <c r="E237" s="30"/>
      <c r="F237" s="30" t="s">
        <v>425</v>
      </c>
      <c r="G237" s="28" t="s">
        <v>440</v>
      </c>
      <c r="H237" s="30" t="s">
        <v>427</v>
      </c>
      <c r="I237" s="28" t="s">
        <v>343</v>
      </c>
      <c r="J237" s="30" t="s">
        <v>431</v>
      </c>
      <c r="K237" s="30" t="n">
        <v>100</v>
      </c>
      <c r="L237" s="30" t="n">
        <v>50</v>
      </c>
      <c r="M237" s="30" t="n">
        <v>80</v>
      </c>
      <c r="N237" s="30" t="n">
        <v>60</v>
      </c>
      <c r="O237" s="30" t="n">
        <v>80</v>
      </c>
      <c r="P237" s="30" t="n">
        <v>50</v>
      </c>
      <c r="Q237" s="30" t="n">
        <f aca="false">SUM(K237:P237)</f>
        <v>420</v>
      </c>
      <c r="R237" s="30"/>
      <c r="S237" s="30"/>
      <c r="T237" s="30"/>
      <c r="U237" s="30" t="n">
        <v>1</v>
      </c>
      <c r="V237" s="16"/>
      <c r="W237" s="16"/>
    </row>
    <row r="238" customFormat="false" ht="13.5" hidden="false" customHeight="true" outlineLevel="0" collapsed="false">
      <c r="A238" s="31" t="n">
        <f aca="false">A237+1</f>
        <v>237</v>
      </c>
      <c r="B238" s="30" t="s">
        <v>843</v>
      </c>
      <c r="C238" s="30" t="s">
        <v>322</v>
      </c>
      <c r="D238" s="30" t="s">
        <v>328</v>
      </c>
      <c r="E238" s="30"/>
      <c r="F238" s="30" t="s">
        <v>425</v>
      </c>
      <c r="G238" s="28" t="s">
        <v>440</v>
      </c>
      <c r="H238" s="30" t="s">
        <v>427</v>
      </c>
      <c r="I238" s="28" t="s">
        <v>343</v>
      </c>
      <c r="J238" s="30" t="s">
        <v>431</v>
      </c>
      <c r="K238" s="30" t="n">
        <v>50</v>
      </c>
      <c r="L238" s="30" t="n">
        <v>85</v>
      </c>
      <c r="M238" s="30" t="n">
        <v>85</v>
      </c>
      <c r="N238" s="30" t="n">
        <v>55</v>
      </c>
      <c r="O238" s="30" t="n">
        <v>55</v>
      </c>
      <c r="P238" s="30" t="n">
        <v>50</v>
      </c>
      <c r="Q238" s="30" t="n">
        <f aca="false">SUM(K238:P238)</f>
        <v>380</v>
      </c>
      <c r="R238" s="30"/>
      <c r="S238" s="30" t="s">
        <v>797</v>
      </c>
      <c r="T238" s="30"/>
      <c r="U238" s="30" t="n">
        <v>1</v>
      </c>
      <c r="V238" s="16"/>
      <c r="W238" s="16"/>
    </row>
    <row r="239" customFormat="false" ht="13.5" hidden="false" customHeight="true" outlineLevel="0" collapsed="false">
      <c r="A239" s="31" t="n">
        <f aca="false">A238+1</f>
        <v>238</v>
      </c>
      <c r="B239" s="30" t="s">
        <v>844</v>
      </c>
      <c r="C239" s="30" t="s">
        <v>337</v>
      </c>
      <c r="D239" s="30" t="s">
        <v>301</v>
      </c>
      <c r="E239" s="30"/>
      <c r="F239" s="30" t="s">
        <v>356</v>
      </c>
      <c r="G239" s="28" t="s">
        <v>286</v>
      </c>
      <c r="H239" s="30" t="s">
        <v>357</v>
      </c>
      <c r="I239" s="28" t="s">
        <v>286</v>
      </c>
      <c r="J239" s="30" t="s">
        <v>358</v>
      </c>
      <c r="K239" s="30" t="n">
        <v>40</v>
      </c>
      <c r="L239" s="30" t="n">
        <v>55</v>
      </c>
      <c r="M239" s="30" t="n">
        <v>30</v>
      </c>
      <c r="N239" s="30" t="n">
        <v>30</v>
      </c>
      <c r="O239" s="30" t="n">
        <v>30</v>
      </c>
      <c r="P239" s="30" t="n">
        <v>60</v>
      </c>
      <c r="Q239" s="30" t="n">
        <f aca="false">SUM(K239:P239)</f>
        <v>245</v>
      </c>
      <c r="R239" s="30" t="n">
        <v>14</v>
      </c>
      <c r="S239" s="30" t="s">
        <v>845</v>
      </c>
      <c r="T239" s="30"/>
      <c r="U239" s="30"/>
      <c r="V239" s="16"/>
      <c r="W239" s="16"/>
    </row>
    <row r="240" customFormat="false" ht="16.5" hidden="false" customHeight="true" outlineLevel="0" collapsed="false">
      <c r="A240" s="31" t="n">
        <f aca="false">A239+1</f>
        <v>239</v>
      </c>
      <c r="B240" s="30" t="s">
        <v>846</v>
      </c>
      <c r="C240" s="30" t="s">
        <v>337</v>
      </c>
      <c r="D240" s="30" t="s">
        <v>301</v>
      </c>
      <c r="E240" s="30"/>
      <c r="F240" s="30" t="s">
        <v>356</v>
      </c>
      <c r="G240" s="28" t="s">
        <v>286</v>
      </c>
      <c r="H240" s="30" t="s">
        <v>357</v>
      </c>
      <c r="I240" s="28" t="s">
        <v>286</v>
      </c>
      <c r="J240" s="30" t="s">
        <v>358</v>
      </c>
      <c r="K240" s="30" t="n">
        <v>55</v>
      </c>
      <c r="L240" s="30" t="n">
        <v>75</v>
      </c>
      <c r="M240" s="30" t="n">
        <v>50</v>
      </c>
      <c r="N240" s="30" t="n">
        <v>40</v>
      </c>
      <c r="O240" s="30" t="n">
        <v>40</v>
      </c>
      <c r="P240" s="30" t="n">
        <v>80</v>
      </c>
      <c r="Q240" s="30" t="n">
        <f aca="false">SUM(K240:P240)</f>
        <v>340</v>
      </c>
      <c r="R240" s="30" t="n">
        <v>34</v>
      </c>
      <c r="S240" s="30"/>
      <c r="T240" s="30"/>
      <c r="U240" s="30"/>
      <c r="V240" s="16"/>
      <c r="W240" s="16"/>
    </row>
    <row r="241" customFormat="false" ht="13.5" hidden="false" customHeight="true" outlineLevel="0" collapsed="false">
      <c r="A241" s="31" t="n">
        <f aca="false">A240+1</f>
        <v>240</v>
      </c>
      <c r="B241" s="30" t="s">
        <v>847</v>
      </c>
      <c r="C241" s="30" t="s">
        <v>337</v>
      </c>
      <c r="D241" s="30" t="s">
        <v>301</v>
      </c>
      <c r="E241" s="30" t="s">
        <v>388</v>
      </c>
      <c r="F241" s="30" t="s">
        <v>515</v>
      </c>
      <c r="G241" s="30" t="s">
        <v>286</v>
      </c>
      <c r="H241" s="30" t="s">
        <v>699</v>
      </c>
      <c r="I241" s="28" t="s">
        <v>365</v>
      </c>
      <c r="J241" s="30" t="s">
        <v>700</v>
      </c>
      <c r="K241" s="30" t="n">
        <v>85</v>
      </c>
      <c r="L241" s="30" t="n">
        <v>120</v>
      </c>
      <c r="M241" s="30" t="n">
        <v>70</v>
      </c>
      <c r="N241" s="30" t="n">
        <v>50</v>
      </c>
      <c r="O241" s="30" t="n">
        <v>60</v>
      </c>
      <c r="P241" s="30" t="n">
        <v>100</v>
      </c>
      <c r="Q241" s="30" t="n">
        <f aca="false">SUM(K241:P241)</f>
        <v>485</v>
      </c>
      <c r="R241" s="30"/>
      <c r="S241" s="30"/>
      <c r="T241" s="30"/>
      <c r="U241" s="30" t="n">
        <v>1</v>
      </c>
      <c r="V241" s="16"/>
      <c r="W241" s="16"/>
    </row>
    <row r="242" customFormat="false" ht="13.5" hidden="false" customHeight="true" outlineLevel="0" collapsed="false">
      <c r="A242" s="31" t="n">
        <f aca="false">A241+1</f>
        <v>241</v>
      </c>
      <c r="B242" s="30" t="s">
        <v>848</v>
      </c>
      <c r="C242" s="30" t="s">
        <v>283</v>
      </c>
      <c r="D242" s="30" t="s">
        <v>284</v>
      </c>
      <c r="E242" s="30"/>
      <c r="F242" s="30" t="s">
        <v>290</v>
      </c>
      <c r="G242" s="28" t="s">
        <v>286</v>
      </c>
      <c r="H242" s="30" t="s">
        <v>447</v>
      </c>
      <c r="I242" s="28" t="s">
        <v>286</v>
      </c>
      <c r="J242" s="30" t="s">
        <v>287</v>
      </c>
      <c r="K242" s="30" t="n">
        <v>45</v>
      </c>
      <c r="L242" s="30" t="n">
        <v>49</v>
      </c>
      <c r="M242" s="30" t="n">
        <v>65</v>
      </c>
      <c r="N242" s="30" t="n">
        <v>49</v>
      </c>
      <c r="O242" s="30" t="n">
        <v>65</v>
      </c>
      <c r="P242" s="30" t="n">
        <v>45</v>
      </c>
      <c r="Q242" s="30" t="n">
        <f aca="false">SUM(K242:P242)</f>
        <v>318</v>
      </c>
      <c r="R242" s="30" t="n">
        <v>16</v>
      </c>
      <c r="S242" s="30"/>
      <c r="T242" s="30"/>
      <c r="U242" s="30"/>
      <c r="V242" s="16"/>
      <c r="W242" s="16"/>
    </row>
    <row r="243" customFormat="false" ht="16.5" hidden="false" customHeight="true" outlineLevel="0" collapsed="false">
      <c r="A243" s="31" t="n">
        <f aca="false">A242+1</f>
        <v>242</v>
      </c>
      <c r="B243" s="30" t="s">
        <v>849</v>
      </c>
      <c r="C243" s="30" t="s">
        <v>283</v>
      </c>
      <c r="D243" s="30" t="s">
        <v>284</v>
      </c>
      <c r="E243" s="30"/>
      <c r="F243" s="30" t="s">
        <v>291</v>
      </c>
      <c r="G243" s="28" t="s">
        <v>286</v>
      </c>
      <c r="H243" s="30" t="s">
        <v>450</v>
      </c>
      <c r="I243" s="28" t="s">
        <v>286</v>
      </c>
      <c r="J243" s="30" t="s">
        <v>292</v>
      </c>
      <c r="K243" s="30" t="n">
        <v>60</v>
      </c>
      <c r="L243" s="30" t="n">
        <v>62</v>
      </c>
      <c r="M243" s="30" t="n">
        <v>80</v>
      </c>
      <c r="N243" s="30" t="n">
        <v>63</v>
      </c>
      <c r="O243" s="30" t="n">
        <v>80</v>
      </c>
      <c r="P243" s="30" t="n">
        <v>60</v>
      </c>
      <c r="Q243" s="30" t="n">
        <f aca="false">SUM(K243:P243)</f>
        <v>405</v>
      </c>
      <c r="R243" s="30" t="n">
        <v>32</v>
      </c>
      <c r="S243" s="30"/>
      <c r="T243" s="30"/>
      <c r="U243" s="30"/>
      <c r="V243" s="16"/>
      <c r="W243" s="16"/>
    </row>
    <row r="244" customFormat="false" ht="13.5" hidden="false" customHeight="true" outlineLevel="0" collapsed="false">
      <c r="A244" s="31" t="n">
        <f aca="false">A243+1</f>
        <v>243</v>
      </c>
      <c r="B244" s="30" t="s">
        <v>850</v>
      </c>
      <c r="C244" s="30" t="s">
        <v>283</v>
      </c>
      <c r="D244" s="30" t="s">
        <v>284</v>
      </c>
      <c r="E244" s="32" t="s">
        <v>295</v>
      </c>
      <c r="F244" s="32" t="s">
        <v>454</v>
      </c>
      <c r="G244" s="33" t="s">
        <v>286</v>
      </c>
      <c r="H244" s="32" t="s">
        <v>344</v>
      </c>
      <c r="I244" s="33" t="s">
        <v>286</v>
      </c>
      <c r="J244" s="32" t="s">
        <v>296</v>
      </c>
      <c r="K244" s="30" t="n">
        <v>80</v>
      </c>
      <c r="L244" s="30" t="n">
        <v>82</v>
      </c>
      <c r="M244" s="30" t="n">
        <v>100</v>
      </c>
      <c r="N244" s="30" t="n">
        <v>83</v>
      </c>
      <c r="O244" s="30" t="n">
        <v>100</v>
      </c>
      <c r="P244" s="30" t="n">
        <v>80</v>
      </c>
      <c r="Q244" s="30" t="n">
        <f aca="false">SUM(K244:P244)</f>
        <v>525</v>
      </c>
      <c r="R244" s="30"/>
      <c r="S244" s="30"/>
      <c r="T244" s="30"/>
      <c r="U244" s="30" t="n">
        <v>1</v>
      </c>
      <c r="V244" s="16"/>
      <c r="W244" s="16"/>
    </row>
    <row r="245" customFormat="false" ht="13.5" hidden="false" customHeight="true" outlineLevel="0" collapsed="false">
      <c r="A245" s="31" t="n">
        <f aca="false">A244+1</f>
        <v>244</v>
      </c>
      <c r="B245" s="30" t="s">
        <v>851</v>
      </c>
      <c r="C245" s="30" t="s">
        <v>284</v>
      </c>
      <c r="D245" s="30" t="s">
        <v>293</v>
      </c>
      <c r="E245" s="32"/>
      <c r="F245" s="32" t="s">
        <v>298</v>
      </c>
      <c r="G245" s="33" t="s">
        <v>286</v>
      </c>
      <c r="H245" s="32" t="s">
        <v>299</v>
      </c>
      <c r="I245" s="33" t="s">
        <v>286</v>
      </c>
      <c r="J245" s="32" t="s">
        <v>300</v>
      </c>
      <c r="K245" s="30" t="n">
        <v>39</v>
      </c>
      <c r="L245" s="30" t="n">
        <v>52</v>
      </c>
      <c r="M245" s="30" t="n">
        <v>43</v>
      </c>
      <c r="N245" s="30" t="n">
        <v>60</v>
      </c>
      <c r="O245" s="30" t="n">
        <v>50</v>
      </c>
      <c r="P245" s="30" t="n">
        <v>65</v>
      </c>
      <c r="Q245" s="30" t="n">
        <f aca="false">SUM(K245:P245)</f>
        <v>309</v>
      </c>
      <c r="R245" s="30" t="n">
        <v>14</v>
      </c>
      <c r="S245" s="30"/>
      <c r="T245" s="30"/>
      <c r="U245" s="30"/>
      <c r="V245" s="16"/>
      <c r="W245" s="16"/>
    </row>
    <row r="246" customFormat="false" ht="16.5" hidden="false" customHeight="true" outlineLevel="0" collapsed="false">
      <c r="A246" s="31" t="n">
        <f aca="false">A245+1</f>
        <v>245</v>
      </c>
      <c r="B246" s="30" t="s">
        <v>852</v>
      </c>
      <c r="C246" s="30" t="s">
        <v>284</v>
      </c>
      <c r="D246" s="30" t="s">
        <v>293</v>
      </c>
      <c r="E246" s="30"/>
      <c r="F246" s="30" t="s">
        <v>303</v>
      </c>
      <c r="G246" s="28" t="s">
        <v>286</v>
      </c>
      <c r="H246" s="30" t="s">
        <v>304</v>
      </c>
      <c r="I246" s="28" t="s">
        <v>286</v>
      </c>
      <c r="J246" s="30" t="s">
        <v>305</v>
      </c>
      <c r="K246" s="30" t="n">
        <v>58</v>
      </c>
      <c r="L246" s="30" t="n">
        <v>64</v>
      </c>
      <c r="M246" s="30" t="n">
        <v>58</v>
      </c>
      <c r="N246" s="30" t="n">
        <v>80</v>
      </c>
      <c r="O246" s="30" t="n">
        <v>65</v>
      </c>
      <c r="P246" s="30" t="n">
        <v>80</v>
      </c>
      <c r="Q246" s="30" t="n">
        <f aca="false">SUM(K246:P246)</f>
        <v>405</v>
      </c>
      <c r="R246" s="30" t="n">
        <v>36</v>
      </c>
      <c r="S246" s="30"/>
      <c r="T246" s="30"/>
      <c r="U246" s="30"/>
      <c r="V246" s="16"/>
      <c r="W246" s="16"/>
    </row>
    <row r="247" customFormat="false" ht="13.5" hidden="false" customHeight="true" outlineLevel="0" collapsed="false">
      <c r="A247" s="31" t="n">
        <f aca="false">A246+1</f>
        <v>246</v>
      </c>
      <c r="B247" s="30" t="s">
        <v>853</v>
      </c>
      <c r="C247" s="30" t="s">
        <v>284</v>
      </c>
      <c r="D247" s="30" t="s">
        <v>293</v>
      </c>
      <c r="E247" s="30" t="s">
        <v>308</v>
      </c>
      <c r="F247" s="30" t="s">
        <v>309</v>
      </c>
      <c r="G247" s="28" t="s">
        <v>286</v>
      </c>
      <c r="H247" s="30" t="s">
        <v>310</v>
      </c>
      <c r="I247" s="28" t="s">
        <v>286</v>
      </c>
      <c r="J247" s="30" t="s">
        <v>311</v>
      </c>
      <c r="K247" s="30" t="n">
        <v>78</v>
      </c>
      <c r="L247" s="30" t="n">
        <v>84</v>
      </c>
      <c r="M247" s="30" t="n">
        <v>78</v>
      </c>
      <c r="N247" s="30" t="n">
        <v>109</v>
      </c>
      <c r="O247" s="30" t="n">
        <v>85</v>
      </c>
      <c r="P247" s="30" t="n">
        <v>100</v>
      </c>
      <c r="Q247" s="30" t="n">
        <f aca="false">SUM(K247:P247)</f>
        <v>534</v>
      </c>
      <c r="R247" s="30"/>
      <c r="S247" s="30"/>
      <c r="T247" s="30"/>
      <c r="U247" s="30" t="n">
        <v>1</v>
      </c>
      <c r="V247" s="16"/>
      <c r="W247" s="16"/>
    </row>
    <row r="248" customFormat="false" ht="13.5" hidden="false" customHeight="true" outlineLevel="0" collapsed="false">
      <c r="A248" s="31" t="n">
        <f aca="false">A247+1</f>
        <v>247</v>
      </c>
      <c r="B248" s="30" t="s">
        <v>854</v>
      </c>
      <c r="C248" s="30" t="s">
        <v>293</v>
      </c>
      <c r="D248" s="30" t="s">
        <v>301</v>
      </c>
      <c r="E248" s="30"/>
      <c r="F248" s="30" t="s">
        <v>314</v>
      </c>
      <c r="G248" s="28" t="s">
        <v>286</v>
      </c>
      <c r="H248" s="30" t="s">
        <v>315</v>
      </c>
      <c r="I248" s="28" t="s">
        <v>286</v>
      </c>
      <c r="J248" s="30" t="s">
        <v>316</v>
      </c>
      <c r="K248" s="30" t="n">
        <v>50</v>
      </c>
      <c r="L248" s="30" t="n">
        <v>65</v>
      </c>
      <c r="M248" s="30" t="n">
        <v>64</v>
      </c>
      <c r="N248" s="30" t="n">
        <v>44</v>
      </c>
      <c r="O248" s="30" t="n">
        <v>48</v>
      </c>
      <c r="P248" s="30" t="n">
        <v>43</v>
      </c>
      <c r="Q248" s="30" t="n">
        <f aca="false">SUM(K248:P248)</f>
        <v>314</v>
      </c>
      <c r="R248" s="30" t="n">
        <v>18</v>
      </c>
      <c r="S248" s="30"/>
      <c r="T248" s="30"/>
      <c r="U248" s="30"/>
      <c r="V248" s="16"/>
      <c r="W248" s="16"/>
    </row>
    <row r="249" customFormat="false" ht="16.5" hidden="false" customHeight="true" outlineLevel="0" collapsed="false">
      <c r="A249" s="31" t="n">
        <f aca="false">A248+1</f>
        <v>248</v>
      </c>
      <c r="B249" s="30" t="s">
        <v>855</v>
      </c>
      <c r="C249" s="30" t="s">
        <v>293</v>
      </c>
      <c r="D249" s="30" t="s">
        <v>301</v>
      </c>
      <c r="E249" s="30"/>
      <c r="F249" s="30" t="s">
        <v>319</v>
      </c>
      <c r="G249" s="28" t="s">
        <v>286</v>
      </c>
      <c r="H249" s="30" t="s">
        <v>320</v>
      </c>
      <c r="I249" s="28" t="s">
        <v>286</v>
      </c>
      <c r="J249" s="30" t="s">
        <v>321</v>
      </c>
      <c r="K249" s="30" t="n">
        <v>65</v>
      </c>
      <c r="L249" s="30" t="n">
        <v>80</v>
      </c>
      <c r="M249" s="30" t="n">
        <v>80</v>
      </c>
      <c r="N249" s="30" t="n">
        <v>59</v>
      </c>
      <c r="O249" s="30" t="n">
        <v>63</v>
      </c>
      <c r="P249" s="30" t="n">
        <v>58</v>
      </c>
      <c r="Q249" s="30" t="n">
        <f aca="false">SUM(K249:P249)</f>
        <v>405</v>
      </c>
      <c r="R249" s="30" t="n">
        <v>30</v>
      </c>
      <c r="S249" s="30"/>
      <c r="T249" s="30"/>
      <c r="U249" s="30"/>
      <c r="V249" s="16"/>
      <c r="W249" s="16"/>
    </row>
    <row r="250" customFormat="false" ht="13.5" hidden="false" customHeight="true" outlineLevel="0" collapsed="false">
      <c r="A250" s="31" t="n">
        <f aca="false">A249+1</f>
        <v>249</v>
      </c>
      <c r="B250" s="30" t="s">
        <v>856</v>
      </c>
      <c r="C250" s="30" t="s">
        <v>293</v>
      </c>
      <c r="D250" s="30" t="s">
        <v>301</v>
      </c>
      <c r="E250" s="30" t="s">
        <v>324</v>
      </c>
      <c r="F250" s="30" t="s">
        <v>325</v>
      </c>
      <c r="G250" s="28" t="s">
        <v>286</v>
      </c>
      <c r="H250" s="30" t="s">
        <v>326</v>
      </c>
      <c r="I250" s="28" t="s">
        <v>286</v>
      </c>
      <c r="J250" s="30" t="s">
        <v>327</v>
      </c>
      <c r="K250" s="30" t="n">
        <v>85</v>
      </c>
      <c r="L250" s="30" t="n">
        <v>105</v>
      </c>
      <c r="M250" s="30" t="n">
        <v>100</v>
      </c>
      <c r="N250" s="30" t="n">
        <v>79</v>
      </c>
      <c r="O250" s="30" t="n">
        <v>83</v>
      </c>
      <c r="P250" s="30" t="n">
        <v>78</v>
      </c>
      <c r="Q250" s="30" t="n">
        <f aca="false">SUM(K250:P250)</f>
        <v>530</v>
      </c>
      <c r="R250" s="30"/>
      <c r="S250" s="30"/>
      <c r="T250" s="30"/>
      <c r="U250" s="30" t="n">
        <v>1</v>
      </c>
      <c r="V250" s="16"/>
      <c r="W250" s="16"/>
    </row>
    <row r="251" customFormat="false" ht="13.5" hidden="false" customHeight="true" outlineLevel="0" collapsed="false">
      <c r="A251" s="31" t="n">
        <f aca="false">A250+1</f>
        <v>250</v>
      </c>
      <c r="B251" s="30" t="s">
        <v>857</v>
      </c>
      <c r="C251" s="30" t="s">
        <v>283</v>
      </c>
      <c r="D251" s="30" t="s">
        <v>284</v>
      </c>
      <c r="E251" s="30"/>
      <c r="F251" s="30" t="s">
        <v>290</v>
      </c>
      <c r="G251" s="28" t="s">
        <v>286</v>
      </c>
      <c r="H251" s="30" t="s">
        <v>447</v>
      </c>
      <c r="I251" s="28" t="s">
        <v>286</v>
      </c>
      <c r="J251" s="30" t="s">
        <v>287</v>
      </c>
      <c r="K251" s="30" t="n">
        <v>40</v>
      </c>
      <c r="L251" s="30" t="n">
        <v>45</v>
      </c>
      <c r="M251" s="30" t="n">
        <v>35</v>
      </c>
      <c r="N251" s="30" t="n">
        <v>65</v>
      </c>
      <c r="O251" s="30" t="n">
        <v>55</v>
      </c>
      <c r="P251" s="30" t="n">
        <v>70</v>
      </c>
      <c r="Q251" s="30" t="n">
        <f aca="false">SUM(K251:P251)</f>
        <v>310</v>
      </c>
      <c r="R251" s="30" t="n">
        <v>16</v>
      </c>
      <c r="S251" s="30"/>
      <c r="T251" s="30"/>
      <c r="U251" s="30"/>
      <c r="V251" s="16"/>
      <c r="W251" s="16"/>
    </row>
    <row r="252" customFormat="false" ht="16.5" hidden="false" customHeight="true" outlineLevel="0" collapsed="false">
      <c r="A252" s="31" t="n">
        <f aca="false">A251+1</f>
        <v>251</v>
      </c>
      <c r="B252" s="30" t="s">
        <v>858</v>
      </c>
      <c r="C252" s="30" t="s">
        <v>283</v>
      </c>
      <c r="D252" s="30" t="s">
        <v>284</v>
      </c>
      <c r="E252" s="30"/>
      <c r="F252" s="30" t="s">
        <v>291</v>
      </c>
      <c r="G252" s="28" t="s">
        <v>286</v>
      </c>
      <c r="H252" s="30" t="s">
        <v>450</v>
      </c>
      <c r="I252" s="28" t="s">
        <v>286</v>
      </c>
      <c r="J252" s="30" t="s">
        <v>292</v>
      </c>
      <c r="K252" s="30" t="n">
        <v>50</v>
      </c>
      <c r="L252" s="30" t="n">
        <v>65</v>
      </c>
      <c r="M252" s="30" t="n">
        <v>45</v>
      </c>
      <c r="N252" s="30" t="n">
        <v>85</v>
      </c>
      <c r="O252" s="30" t="n">
        <v>65</v>
      </c>
      <c r="P252" s="30" t="n">
        <v>95</v>
      </c>
      <c r="Q252" s="30" t="n">
        <f aca="false">SUM(K252:P252)</f>
        <v>405</v>
      </c>
      <c r="R252" s="30" t="n">
        <v>36</v>
      </c>
      <c r="S252" s="30"/>
      <c r="T252" s="30"/>
      <c r="U252" s="30"/>
      <c r="V252" s="16"/>
      <c r="W252" s="16"/>
    </row>
    <row r="253" customFormat="false" ht="13.5" hidden="false" customHeight="true" outlineLevel="0" collapsed="false">
      <c r="A253" s="31" t="n">
        <f aca="false">A252+1</f>
        <v>252</v>
      </c>
      <c r="B253" s="30" t="s">
        <v>859</v>
      </c>
      <c r="C253" s="30" t="s">
        <v>283</v>
      </c>
      <c r="D253" s="30" t="s">
        <v>284</v>
      </c>
      <c r="E253" s="32" t="s">
        <v>295</v>
      </c>
      <c r="F253" s="32" t="s">
        <v>454</v>
      </c>
      <c r="G253" s="33" t="s">
        <v>286</v>
      </c>
      <c r="H253" s="32" t="s">
        <v>344</v>
      </c>
      <c r="I253" s="33" t="s">
        <v>286</v>
      </c>
      <c r="J253" s="32" t="s">
        <v>296</v>
      </c>
      <c r="K253" s="30" t="n">
        <v>70</v>
      </c>
      <c r="L253" s="30" t="n">
        <v>85</v>
      </c>
      <c r="M253" s="30" t="n">
        <v>65</v>
      </c>
      <c r="N253" s="30" t="n">
        <v>105</v>
      </c>
      <c r="O253" s="30" t="n">
        <v>85</v>
      </c>
      <c r="P253" s="30" t="n">
        <v>120</v>
      </c>
      <c r="Q253" s="30" t="n">
        <f aca="false">SUM(K253:P253)</f>
        <v>530</v>
      </c>
      <c r="R253" s="30"/>
      <c r="S253" s="30"/>
      <c r="T253" s="30"/>
      <c r="U253" s="30" t="n">
        <v>1</v>
      </c>
      <c r="V253" s="16"/>
      <c r="W253" s="16"/>
    </row>
    <row r="254" customFormat="false" ht="13.5" hidden="false" customHeight="true" outlineLevel="0" collapsed="false">
      <c r="A254" s="31" t="n">
        <f aca="false">A253+1</f>
        <v>253</v>
      </c>
      <c r="B254" s="30" t="s">
        <v>860</v>
      </c>
      <c r="C254" s="30" t="s">
        <v>284</v>
      </c>
      <c r="D254" s="30" t="s">
        <v>293</v>
      </c>
      <c r="E254" s="32"/>
      <c r="F254" s="32" t="s">
        <v>298</v>
      </c>
      <c r="G254" s="33" t="s">
        <v>286</v>
      </c>
      <c r="H254" s="32" t="s">
        <v>299</v>
      </c>
      <c r="I254" s="33" t="s">
        <v>286</v>
      </c>
      <c r="J254" s="32" t="s">
        <v>300</v>
      </c>
      <c r="K254" s="30" t="n">
        <v>45</v>
      </c>
      <c r="L254" s="30" t="n">
        <v>60</v>
      </c>
      <c r="M254" s="30" t="n">
        <v>40</v>
      </c>
      <c r="N254" s="30" t="n">
        <v>70</v>
      </c>
      <c r="O254" s="30" t="n">
        <v>50</v>
      </c>
      <c r="P254" s="30" t="n">
        <v>45</v>
      </c>
      <c r="Q254" s="30" t="n">
        <f aca="false">SUM(K254:P254)</f>
        <v>310</v>
      </c>
      <c r="R254" s="30" t="n">
        <v>16</v>
      </c>
      <c r="S254" s="30"/>
      <c r="T254" s="30"/>
      <c r="U254" s="30"/>
      <c r="V254" s="16"/>
      <c r="W254" s="16"/>
    </row>
    <row r="255" customFormat="false" ht="16.5" hidden="false" customHeight="true" outlineLevel="0" collapsed="false">
      <c r="A255" s="31" t="n">
        <f aca="false">A254+1</f>
        <v>254</v>
      </c>
      <c r="B255" s="30" t="s">
        <v>861</v>
      </c>
      <c r="C255" s="30" t="s">
        <v>284</v>
      </c>
      <c r="D255" s="30" t="s">
        <v>293</v>
      </c>
      <c r="E255" s="30"/>
      <c r="F255" s="30" t="s">
        <v>303</v>
      </c>
      <c r="G255" s="28" t="s">
        <v>286</v>
      </c>
      <c r="H255" s="30" t="s">
        <v>304</v>
      </c>
      <c r="I255" s="28" t="s">
        <v>286</v>
      </c>
      <c r="J255" s="30" t="s">
        <v>305</v>
      </c>
      <c r="K255" s="30" t="n">
        <v>60</v>
      </c>
      <c r="L255" s="30" t="n">
        <v>85</v>
      </c>
      <c r="M255" s="30" t="n">
        <v>60</v>
      </c>
      <c r="N255" s="30" t="n">
        <v>85</v>
      </c>
      <c r="O255" s="30" t="n">
        <v>60</v>
      </c>
      <c r="P255" s="30" t="n">
        <v>55</v>
      </c>
      <c r="Q255" s="30" t="n">
        <f aca="false">SUM(K255:P255)</f>
        <v>405</v>
      </c>
      <c r="R255" s="30" t="n">
        <v>36</v>
      </c>
      <c r="S255" s="30"/>
      <c r="T255" s="30"/>
      <c r="U255" s="30"/>
      <c r="V255" s="16"/>
      <c r="W255" s="16"/>
    </row>
    <row r="256" customFormat="false" ht="13.5" hidden="false" customHeight="true" outlineLevel="0" collapsed="false">
      <c r="A256" s="31" t="n">
        <f aca="false">A255+1</f>
        <v>255</v>
      </c>
      <c r="B256" s="30" t="s">
        <v>862</v>
      </c>
      <c r="C256" s="30" t="s">
        <v>284</v>
      </c>
      <c r="D256" s="30" t="s">
        <v>293</v>
      </c>
      <c r="E256" s="30" t="s">
        <v>308</v>
      </c>
      <c r="F256" s="30" t="s">
        <v>309</v>
      </c>
      <c r="G256" s="28" t="s">
        <v>286</v>
      </c>
      <c r="H256" s="30" t="s">
        <v>310</v>
      </c>
      <c r="I256" s="28" t="s">
        <v>286</v>
      </c>
      <c r="J256" s="30" t="s">
        <v>311</v>
      </c>
      <c r="K256" s="30" t="n">
        <v>80</v>
      </c>
      <c r="L256" s="30" t="n">
        <v>120</v>
      </c>
      <c r="M256" s="30" t="n">
        <v>70</v>
      </c>
      <c r="N256" s="30" t="n">
        <v>110</v>
      </c>
      <c r="O256" s="30" t="n">
        <v>70</v>
      </c>
      <c r="P256" s="30" t="n">
        <v>80</v>
      </c>
      <c r="Q256" s="30" t="n">
        <f aca="false">SUM(K256:P256)</f>
        <v>530</v>
      </c>
      <c r="R256" s="30"/>
      <c r="S256" s="30"/>
      <c r="T256" s="30"/>
      <c r="U256" s="30" t="n">
        <v>1</v>
      </c>
      <c r="V256" s="16"/>
      <c r="W256" s="16"/>
    </row>
    <row r="257" customFormat="false" ht="13.5" hidden="false" customHeight="true" outlineLevel="0" collapsed="false">
      <c r="A257" s="31" t="n">
        <f aca="false">A256+1</f>
        <v>256</v>
      </c>
      <c r="B257" s="30" t="s">
        <v>863</v>
      </c>
      <c r="C257" s="30" t="s">
        <v>293</v>
      </c>
      <c r="D257" s="30" t="s">
        <v>301</v>
      </c>
      <c r="E257" s="30"/>
      <c r="F257" s="30" t="s">
        <v>314</v>
      </c>
      <c r="G257" s="28" t="s">
        <v>286</v>
      </c>
      <c r="H257" s="30" t="s">
        <v>315</v>
      </c>
      <c r="I257" s="28" t="s">
        <v>286</v>
      </c>
      <c r="J257" s="30" t="s">
        <v>316</v>
      </c>
      <c r="K257" s="30" t="n">
        <v>50</v>
      </c>
      <c r="L257" s="30" t="n">
        <v>70</v>
      </c>
      <c r="M257" s="30" t="n">
        <v>50</v>
      </c>
      <c r="N257" s="30" t="n">
        <v>50</v>
      </c>
      <c r="O257" s="30" t="n">
        <v>50</v>
      </c>
      <c r="P257" s="30" t="n">
        <v>40</v>
      </c>
      <c r="Q257" s="30" t="n">
        <f aca="false">SUM(K257:P257)</f>
        <v>310</v>
      </c>
      <c r="R257" s="30" t="n">
        <v>16</v>
      </c>
      <c r="S257" s="30"/>
      <c r="T257" s="30"/>
      <c r="U257" s="30"/>
      <c r="V257" s="16"/>
      <c r="W257" s="16"/>
    </row>
    <row r="258" customFormat="false" ht="16.5" hidden="false" customHeight="true" outlineLevel="0" collapsed="false">
      <c r="A258" s="31" t="n">
        <f aca="false">A257+1</f>
        <v>257</v>
      </c>
      <c r="B258" s="30" t="s">
        <v>864</v>
      </c>
      <c r="C258" s="30" t="s">
        <v>293</v>
      </c>
      <c r="D258" s="30" t="s">
        <v>301</v>
      </c>
      <c r="E258" s="30"/>
      <c r="F258" s="30" t="s">
        <v>319</v>
      </c>
      <c r="G258" s="28" t="s">
        <v>286</v>
      </c>
      <c r="H258" s="30" t="s">
        <v>320</v>
      </c>
      <c r="I258" s="28" t="s">
        <v>286</v>
      </c>
      <c r="J258" s="30" t="s">
        <v>321</v>
      </c>
      <c r="K258" s="30" t="n">
        <v>70</v>
      </c>
      <c r="L258" s="30" t="n">
        <v>85</v>
      </c>
      <c r="M258" s="30" t="n">
        <v>70</v>
      </c>
      <c r="N258" s="30" t="n">
        <v>60</v>
      </c>
      <c r="O258" s="30" t="n">
        <v>70</v>
      </c>
      <c r="P258" s="30" t="n">
        <v>50</v>
      </c>
      <c r="Q258" s="30" t="n">
        <f aca="false">SUM(K258:P258)</f>
        <v>405</v>
      </c>
      <c r="R258" s="30" t="n">
        <v>36</v>
      </c>
      <c r="S258" s="30"/>
      <c r="T258" s="30"/>
      <c r="U258" s="30"/>
      <c r="V258" s="16"/>
      <c r="W258" s="16"/>
    </row>
    <row r="259" customFormat="false" ht="13.5" hidden="false" customHeight="true" outlineLevel="0" collapsed="false">
      <c r="A259" s="31" t="n">
        <f aca="false">A258+1</f>
        <v>258</v>
      </c>
      <c r="B259" s="30" t="s">
        <v>865</v>
      </c>
      <c r="C259" s="30" t="s">
        <v>293</v>
      </c>
      <c r="D259" s="30" t="s">
        <v>301</v>
      </c>
      <c r="E259" s="30" t="s">
        <v>324</v>
      </c>
      <c r="F259" s="30" t="s">
        <v>325</v>
      </c>
      <c r="G259" s="28" t="s">
        <v>286</v>
      </c>
      <c r="H259" s="30" t="s">
        <v>326</v>
      </c>
      <c r="I259" s="28" t="s">
        <v>286</v>
      </c>
      <c r="J259" s="30" t="s">
        <v>327</v>
      </c>
      <c r="K259" s="30" t="n">
        <v>100</v>
      </c>
      <c r="L259" s="30" t="n">
        <v>110</v>
      </c>
      <c r="M259" s="30" t="n">
        <v>90</v>
      </c>
      <c r="N259" s="30" t="n">
        <v>85</v>
      </c>
      <c r="O259" s="30" t="n">
        <v>90</v>
      </c>
      <c r="P259" s="30" t="n">
        <v>60</v>
      </c>
      <c r="Q259" s="30" t="n">
        <f aca="false">SUM(K259:P259)</f>
        <v>535</v>
      </c>
      <c r="R259" s="30"/>
      <c r="S259" s="30"/>
      <c r="T259" s="30"/>
      <c r="U259" s="30" t="n">
        <v>1</v>
      </c>
      <c r="V259" s="16"/>
      <c r="W259" s="16"/>
    </row>
    <row r="260" customFormat="false" ht="13.5" hidden="false" customHeight="true" outlineLevel="0" collapsed="false">
      <c r="A260" s="31" t="n">
        <f aca="false">A259+1</f>
        <v>259</v>
      </c>
      <c r="B260" s="30" t="s">
        <v>866</v>
      </c>
      <c r="C260" s="30" t="s">
        <v>283</v>
      </c>
      <c r="D260" s="30" t="s">
        <v>284</v>
      </c>
      <c r="E260" s="30"/>
      <c r="F260" s="30" t="s">
        <v>290</v>
      </c>
      <c r="G260" s="28" t="s">
        <v>286</v>
      </c>
      <c r="H260" s="30" t="s">
        <v>447</v>
      </c>
      <c r="I260" s="28" t="s">
        <v>286</v>
      </c>
      <c r="J260" s="30" t="s">
        <v>287</v>
      </c>
      <c r="K260" s="30" t="n">
        <v>55</v>
      </c>
      <c r="L260" s="30" t="n">
        <v>68</v>
      </c>
      <c r="M260" s="30" t="n">
        <v>64</v>
      </c>
      <c r="N260" s="30" t="n">
        <v>45</v>
      </c>
      <c r="O260" s="30" t="n">
        <v>55</v>
      </c>
      <c r="P260" s="30" t="n">
        <v>31</v>
      </c>
      <c r="Q260" s="30" t="n">
        <f aca="false">SUM(K260:P260)</f>
        <v>318</v>
      </c>
      <c r="R260" s="30" t="n">
        <v>18</v>
      </c>
      <c r="S260" s="30"/>
      <c r="T260" s="30"/>
      <c r="U260" s="30"/>
      <c r="V260" s="16"/>
      <c r="W260" s="16"/>
    </row>
    <row r="261" customFormat="false" ht="16.5" hidden="false" customHeight="true" outlineLevel="0" collapsed="false">
      <c r="A261" s="31" t="n">
        <f aca="false">A260+1</f>
        <v>260</v>
      </c>
      <c r="B261" s="30" t="s">
        <v>867</v>
      </c>
      <c r="C261" s="30" t="s">
        <v>283</v>
      </c>
      <c r="D261" s="30" t="s">
        <v>284</v>
      </c>
      <c r="E261" s="30"/>
      <c r="F261" s="30" t="s">
        <v>291</v>
      </c>
      <c r="G261" s="28" t="s">
        <v>286</v>
      </c>
      <c r="H261" s="30" t="s">
        <v>450</v>
      </c>
      <c r="I261" s="28" t="s">
        <v>286</v>
      </c>
      <c r="J261" s="30" t="s">
        <v>292</v>
      </c>
      <c r="K261" s="30" t="n">
        <v>75</v>
      </c>
      <c r="L261" s="30" t="n">
        <v>89</v>
      </c>
      <c r="M261" s="30" t="n">
        <v>85</v>
      </c>
      <c r="N261" s="30" t="n">
        <v>55</v>
      </c>
      <c r="O261" s="30" t="n">
        <v>65</v>
      </c>
      <c r="P261" s="30" t="n">
        <v>36</v>
      </c>
      <c r="Q261" s="30" t="n">
        <f aca="false">SUM(K261:P261)</f>
        <v>405</v>
      </c>
      <c r="R261" s="30" t="n">
        <v>32</v>
      </c>
      <c r="S261" s="30"/>
      <c r="T261" s="30"/>
      <c r="U261" s="30"/>
      <c r="V261" s="16"/>
      <c r="W261" s="16"/>
    </row>
    <row r="262" customFormat="false" ht="13.5" hidden="false" customHeight="true" outlineLevel="0" collapsed="false">
      <c r="A262" s="31" t="n">
        <f aca="false">A261+1</f>
        <v>261</v>
      </c>
      <c r="B262" s="30" t="s">
        <v>868</v>
      </c>
      <c r="C262" s="30" t="s">
        <v>283</v>
      </c>
      <c r="D262" s="30" t="s">
        <v>284</v>
      </c>
      <c r="E262" s="32" t="s">
        <v>295</v>
      </c>
      <c r="F262" s="32" t="s">
        <v>454</v>
      </c>
      <c r="G262" s="33" t="s">
        <v>286</v>
      </c>
      <c r="H262" s="32" t="s">
        <v>344</v>
      </c>
      <c r="I262" s="33" t="s">
        <v>286</v>
      </c>
      <c r="J262" s="32" t="s">
        <v>296</v>
      </c>
      <c r="K262" s="30" t="n">
        <v>95</v>
      </c>
      <c r="L262" s="30" t="n">
        <v>109</v>
      </c>
      <c r="M262" s="30" t="n">
        <v>105</v>
      </c>
      <c r="N262" s="30" t="n">
        <v>75</v>
      </c>
      <c r="O262" s="30" t="n">
        <v>85</v>
      </c>
      <c r="P262" s="30" t="n">
        <v>56</v>
      </c>
      <c r="Q262" s="30" t="n">
        <f aca="false">SUM(K262:P262)</f>
        <v>525</v>
      </c>
      <c r="R262" s="30"/>
      <c r="S262" s="30"/>
      <c r="T262" s="30"/>
      <c r="U262" s="30" t="n">
        <v>1</v>
      </c>
      <c r="V262" s="16"/>
      <c r="W262" s="16"/>
    </row>
    <row r="263" customFormat="false" ht="13.5" hidden="false" customHeight="true" outlineLevel="0" collapsed="false">
      <c r="A263" s="31" t="n">
        <f aca="false">A262+1</f>
        <v>262</v>
      </c>
      <c r="B263" s="30" t="s">
        <v>869</v>
      </c>
      <c r="C263" s="30" t="s">
        <v>284</v>
      </c>
      <c r="D263" s="30" t="s">
        <v>293</v>
      </c>
      <c r="E263" s="32"/>
      <c r="F263" s="32" t="s">
        <v>298</v>
      </c>
      <c r="G263" s="33" t="s">
        <v>286</v>
      </c>
      <c r="H263" s="32" t="s">
        <v>299</v>
      </c>
      <c r="I263" s="33" t="s">
        <v>286</v>
      </c>
      <c r="J263" s="32" t="s">
        <v>300</v>
      </c>
      <c r="K263" s="30" t="n">
        <v>44</v>
      </c>
      <c r="L263" s="30" t="n">
        <v>58</v>
      </c>
      <c r="M263" s="30" t="n">
        <v>44</v>
      </c>
      <c r="N263" s="30" t="n">
        <v>58</v>
      </c>
      <c r="O263" s="30" t="n">
        <v>44</v>
      </c>
      <c r="P263" s="30" t="n">
        <v>61</v>
      </c>
      <c r="Q263" s="30" t="n">
        <f aca="false">SUM(K263:P263)</f>
        <v>309</v>
      </c>
      <c r="R263" s="30" t="n">
        <v>14</v>
      </c>
      <c r="S263" s="30"/>
      <c r="T263" s="30"/>
      <c r="U263" s="30"/>
      <c r="V263" s="16"/>
      <c r="W263" s="16"/>
    </row>
    <row r="264" customFormat="false" ht="16.5" hidden="false" customHeight="true" outlineLevel="0" collapsed="false">
      <c r="A264" s="31" t="n">
        <f aca="false">A263+1</f>
        <v>263</v>
      </c>
      <c r="B264" s="30" t="s">
        <v>870</v>
      </c>
      <c r="C264" s="30" t="s">
        <v>284</v>
      </c>
      <c r="D264" s="30" t="s">
        <v>293</v>
      </c>
      <c r="E264" s="30"/>
      <c r="F264" s="30" t="s">
        <v>303</v>
      </c>
      <c r="G264" s="28" t="s">
        <v>286</v>
      </c>
      <c r="H264" s="30" t="s">
        <v>304</v>
      </c>
      <c r="I264" s="28" t="s">
        <v>286</v>
      </c>
      <c r="J264" s="30" t="s">
        <v>305</v>
      </c>
      <c r="K264" s="30" t="n">
        <v>64</v>
      </c>
      <c r="L264" s="30" t="n">
        <v>78</v>
      </c>
      <c r="M264" s="30" t="n">
        <v>52</v>
      </c>
      <c r="N264" s="30" t="n">
        <v>78</v>
      </c>
      <c r="O264" s="30" t="n">
        <v>52</v>
      </c>
      <c r="P264" s="30" t="n">
        <v>81</v>
      </c>
      <c r="Q264" s="30" t="n">
        <f aca="false">SUM(K264:P264)</f>
        <v>405</v>
      </c>
      <c r="R264" s="30" t="n">
        <v>36</v>
      </c>
      <c r="S264" s="30"/>
      <c r="T264" s="30"/>
      <c r="U264" s="30"/>
      <c r="V264" s="16"/>
      <c r="W264" s="16"/>
    </row>
    <row r="265" customFormat="false" ht="13.5" hidden="false" customHeight="true" outlineLevel="0" collapsed="false">
      <c r="A265" s="31" t="n">
        <f aca="false">A264+1</f>
        <v>264</v>
      </c>
      <c r="B265" s="30" t="s">
        <v>871</v>
      </c>
      <c r="C265" s="30" t="s">
        <v>284</v>
      </c>
      <c r="D265" s="30" t="s">
        <v>293</v>
      </c>
      <c r="E265" s="30" t="s">
        <v>308</v>
      </c>
      <c r="F265" s="30" t="s">
        <v>309</v>
      </c>
      <c r="G265" s="28" t="s">
        <v>286</v>
      </c>
      <c r="H265" s="30" t="s">
        <v>310</v>
      </c>
      <c r="I265" s="28" t="s">
        <v>286</v>
      </c>
      <c r="J265" s="30" t="s">
        <v>311</v>
      </c>
      <c r="K265" s="30" t="n">
        <v>76</v>
      </c>
      <c r="L265" s="30" t="n">
        <v>104</v>
      </c>
      <c r="M265" s="30" t="n">
        <v>71</v>
      </c>
      <c r="N265" s="30" t="n">
        <v>104</v>
      </c>
      <c r="O265" s="30" t="n">
        <v>71</v>
      </c>
      <c r="P265" s="30" t="n">
        <v>108</v>
      </c>
      <c r="Q265" s="30" t="n">
        <f aca="false">SUM(K265:P265)</f>
        <v>534</v>
      </c>
      <c r="R265" s="30"/>
      <c r="S265" s="30"/>
      <c r="T265" s="30"/>
      <c r="U265" s="30" t="n">
        <v>1</v>
      </c>
      <c r="V265" s="16"/>
      <c r="W265" s="16"/>
    </row>
    <row r="266" customFormat="false" ht="13.5" hidden="false" customHeight="true" outlineLevel="0" collapsed="false">
      <c r="A266" s="31" t="n">
        <f aca="false">A265+1</f>
        <v>265</v>
      </c>
      <c r="B266" s="30" t="s">
        <v>872</v>
      </c>
      <c r="C266" s="30" t="s">
        <v>293</v>
      </c>
      <c r="D266" s="30" t="s">
        <v>301</v>
      </c>
      <c r="E266" s="30"/>
      <c r="F266" s="30" t="s">
        <v>314</v>
      </c>
      <c r="G266" s="28" t="s">
        <v>286</v>
      </c>
      <c r="H266" s="30" t="s">
        <v>315</v>
      </c>
      <c r="I266" s="28" t="s">
        <v>286</v>
      </c>
      <c r="J266" s="30" t="s">
        <v>316</v>
      </c>
      <c r="K266" s="30" t="n">
        <v>53</v>
      </c>
      <c r="L266" s="30" t="n">
        <v>51</v>
      </c>
      <c r="M266" s="30" t="n">
        <v>53</v>
      </c>
      <c r="N266" s="30" t="n">
        <v>61</v>
      </c>
      <c r="O266" s="30" t="n">
        <v>56</v>
      </c>
      <c r="P266" s="30" t="n">
        <v>40</v>
      </c>
      <c r="Q266" s="30" t="n">
        <f aca="false">SUM(K266:P266)</f>
        <v>314</v>
      </c>
      <c r="R266" s="30" t="n">
        <v>16</v>
      </c>
      <c r="S266" s="30"/>
      <c r="T266" s="30"/>
      <c r="U266" s="30"/>
      <c r="V266" s="16"/>
      <c r="W266" s="16"/>
    </row>
    <row r="267" customFormat="false" ht="16.5" hidden="false" customHeight="true" outlineLevel="0" collapsed="false">
      <c r="A267" s="31" t="n">
        <f aca="false">A266+1</f>
        <v>266</v>
      </c>
      <c r="B267" s="30" t="s">
        <v>873</v>
      </c>
      <c r="C267" s="30" t="s">
        <v>293</v>
      </c>
      <c r="D267" s="30" t="s">
        <v>301</v>
      </c>
      <c r="E267" s="30"/>
      <c r="F267" s="30" t="s">
        <v>319</v>
      </c>
      <c r="G267" s="28" t="s">
        <v>286</v>
      </c>
      <c r="H267" s="30" t="s">
        <v>320</v>
      </c>
      <c r="I267" s="28" t="s">
        <v>286</v>
      </c>
      <c r="J267" s="30" t="s">
        <v>321</v>
      </c>
      <c r="K267" s="30" t="n">
        <v>64</v>
      </c>
      <c r="L267" s="30" t="n">
        <v>66</v>
      </c>
      <c r="M267" s="30" t="n">
        <v>68</v>
      </c>
      <c r="N267" s="30" t="n">
        <v>81</v>
      </c>
      <c r="O267" s="30" t="n">
        <v>76</v>
      </c>
      <c r="P267" s="30" t="n">
        <v>50</v>
      </c>
      <c r="Q267" s="30" t="n">
        <f aca="false">SUM(K267:P267)</f>
        <v>405</v>
      </c>
      <c r="R267" s="30" t="n">
        <v>36</v>
      </c>
      <c r="S267" s="30"/>
      <c r="T267" s="30"/>
      <c r="U267" s="30"/>
      <c r="V267" s="16"/>
      <c r="W267" s="16"/>
    </row>
    <row r="268" customFormat="false" ht="13.5" hidden="false" customHeight="true" outlineLevel="0" collapsed="false">
      <c r="A268" s="31" t="n">
        <f aca="false">A267+1</f>
        <v>267</v>
      </c>
      <c r="B268" s="30" t="s">
        <v>874</v>
      </c>
      <c r="C268" s="30" t="s">
        <v>293</v>
      </c>
      <c r="D268" s="30" t="s">
        <v>301</v>
      </c>
      <c r="E268" s="30" t="s">
        <v>324</v>
      </c>
      <c r="F268" s="30" t="s">
        <v>325</v>
      </c>
      <c r="G268" s="28" t="s">
        <v>286</v>
      </c>
      <c r="H268" s="30" t="s">
        <v>326</v>
      </c>
      <c r="I268" s="28" t="s">
        <v>286</v>
      </c>
      <c r="J268" s="30" t="s">
        <v>327</v>
      </c>
      <c r="K268" s="30" t="n">
        <v>84</v>
      </c>
      <c r="L268" s="30" t="n">
        <v>86</v>
      </c>
      <c r="M268" s="30" t="n">
        <v>88</v>
      </c>
      <c r="N268" s="30" t="n">
        <v>111</v>
      </c>
      <c r="O268" s="30" t="n">
        <v>101</v>
      </c>
      <c r="P268" s="30" t="n">
        <v>60</v>
      </c>
      <c r="Q268" s="30" t="n">
        <f aca="false">SUM(K268:P268)</f>
        <v>530</v>
      </c>
      <c r="R268" s="30"/>
      <c r="S268" s="30"/>
      <c r="T268" s="30"/>
      <c r="U268" s="30" t="n">
        <v>1</v>
      </c>
      <c r="V268" s="16"/>
      <c r="W268" s="16"/>
    </row>
    <row r="269" customFormat="false" ht="13.5" hidden="false" customHeight="true" outlineLevel="0" collapsed="false">
      <c r="A269" s="31" t="n">
        <f aca="false">A268+1</f>
        <v>268</v>
      </c>
      <c r="B269" s="30" t="s">
        <v>875</v>
      </c>
      <c r="C269" s="30" t="s">
        <v>284</v>
      </c>
      <c r="D269" s="30" t="s">
        <v>293</v>
      </c>
      <c r="E269" s="30"/>
      <c r="F269" s="30" t="s">
        <v>309</v>
      </c>
      <c r="G269" s="28" t="s">
        <v>286</v>
      </c>
      <c r="H269" s="30" t="s">
        <v>310</v>
      </c>
      <c r="I269" s="28" t="s">
        <v>286</v>
      </c>
      <c r="J269" s="30" t="s">
        <v>311</v>
      </c>
      <c r="K269" s="30" t="n">
        <v>110</v>
      </c>
      <c r="L269" s="30" t="n">
        <v>123</v>
      </c>
      <c r="M269" s="30" t="n">
        <v>65</v>
      </c>
      <c r="N269" s="30" t="n">
        <v>100</v>
      </c>
      <c r="O269" s="30" t="n">
        <v>65</v>
      </c>
      <c r="P269" s="30" t="n">
        <v>65</v>
      </c>
      <c r="Q269" s="30" t="n">
        <f aca="false">SUM(K269:P269)</f>
        <v>528</v>
      </c>
      <c r="R269" s="30"/>
      <c r="S269" s="30"/>
      <c r="T269" s="30"/>
      <c r="U269" s="30"/>
      <c r="V269" s="16"/>
      <c r="W269" s="16"/>
    </row>
    <row r="270" customFormat="false" ht="13.5" hidden="false" customHeight="true" outlineLevel="0" collapsed="false">
      <c r="A270" s="31" t="n">
        <f aca="false">A269+1</f>
        <v>269</v>
      </c>
      <c r="B270" s="30" t="s">
        <v>876</v>
      </c>
      <c r="C270" s="30" t="s">
        <v>293</v>
      </c>
      <c r="D270" s="30" t="s">
        <v>301</v>
      </c>
      <c r="E270" s="30"/>
      <c r="F270" s="30" t="s">
        <v>325</v>
      </c>
      <c r="G270" s="28" t="s">
        <v>286</v>
      </c>
      <c r="H270" s="30" t="s">
        <v>326</v>
      </c>
      <c r="I270" s="28" t="s">
        <v>286</v>
      </c>
      <c r="J270" s="30" t="s">
        <v>327</v>
      </c>
      <c r="K270" s="30" t="n">
        <v>72</v>
      </c>
      <c r="L270" s="30" t="n">
        <v>95</v>
      </c>
      <c r="M270" s="30" t="n">
        <v>67</v>
      </c>
      <c r="N270" s="30" t="n">
        <v>103</v>
      </c>
      <c r="O270" s="30" t="n">
        <v>71</v>
      </c>
      <c r="P270" s="30" t="n">
        <v>122</v>
      </c>
      <c r="Q270" s="30" t="n">
        <f aca="false">SUM(K270:P270)</f>
        <v>530</v>
      </c>
      <c r="R270" s="30"/>
      <c r="S270" s="30"/>
      <c r="T270" s="30"/>
      <c r="U270" s="30"/>
      <c r="V270" s="16"/>
      <c r="W270" s="16"/>
    </row>
    <row r="271" customFormat="false" ht="13.5" hidden="false" customHeight="true" outlineLevel="0" collapsed="false">
      <c r="A271" s="31" t="n">
        <f aca="false">A270+1</f>
        <v>270</v>
      </c>
      <c r="B271" s="30" t="s">
        <v>877</v>
      </c>
      <c r="C271" s="30" t="s">
        <v>284</v>
      </c>
      <c r="D271" s="30" t="s">
        <v>293</v>
      </c>
      <c r="E271" s="30"/>
      <c r="F271" s="30" t="s">
        <v>309</v>
      </c>
      <c r="G271" s="28" t="s">
        <v>286</v>
      </c>
      <c r="H271" s="30" t="s">
        <v>310</v>
      </c>
      <c r="I271" s="28" t="s">
        <v>286</v>
      </c>
      <c r="J271" s="30" t="s">
        <v>311</v>
      </c>
      <c r="K271" s="30" t="n">
        <v>95</v>
      </c>
      <c r="L271" s="30" t="n">
        <v>115</v>
      </c>
      <c r="M271" s="30" t="n">
        <v>90</v>
      </c>
      <c r="N271" s="30" t="n">
        <v>80</v>
      </c>
      <c r="O271" s="30" t="n">
        <v>90</v>
      </c>
      <c r="P271" s="30" t="n">
        <v>60</v>
      </c>
      <c r="Q271" s="30" t="n">
        <f aca="false">SUM(K271:P271)</f>
        <v>530</v>
      </c>
      <c r="R271" s="30"/>
      <c r="S271" s="30" t="s">
        <v>878</v>
      </c>
      <c r="T271" s="30"/>
      <c r="U271" s="30"/>
      <c r="V271" s="16"/>
      <c r="W271" s="16"/>
    </row>
    <row r="272" customFormat="false" ht="13.5" hidden="false" customHeight="true" outlineLevel="0" collapsed="false">
      <c r="A272" s="31" t="n">
        <f aca="false">A271+1</f>
        <v>271</v>
      </c>
      <c r="B272" s="30" t="s">
        <v>879</v>
      </c>
      <c r="C272" s="30" t="s">
        <v>293</v>
      </c>
      <c r="D272" s="30" t="s">
        <v>301</v>
      </c>
      <c r="E272" s="30"/>
      <c r="F272" s="30" t="s">
        <v>325</v>
      </c>
      <c r="G272" s="28" t="s">
        <v>286</v>
      </c>
      <c r="H272" s="30" t="s">
        <v>326</v>
      </c>
      <c r="I272" s="28" t="s">
        <v>286</v>
      </c>
      <c r="J272" s="30" t="s">
        <v>327</v>
      </c>
      <c r="K272" s="30" t="n">
        <v>70</v>
      </c>
      <c r="L272" s="30" t="n">
        <v>85</v>
      </c>
      <c r="M272" s="30" t="n">
        <v>65</v>
      </c>
      <c r="N272" s="30" t="n">
        <v>125</v>
      </c>
      <c r="O272" s="30" t="n">
        <v>65</v>
      </c>
      <c r="P272" s="30" t="n">
        <v>120</v>
      </c>
      <c r="Q272" s="30" t="n">
        <f aca="false">SUM(K272:P272)</f>
        <v>530</v>
      </c>
      <c r="R272" s="30"/>
      <c r="S272" s="30"/>
      <c r="T272" s="30"/>
      <c r="U272" s="30"/>
      <c r="V272" s="16"/>
      <c r="W272" s="16"/>
    </row>
    <row r="273" customFormat="false" ht="13.5" hidden="false" customHeight="true" outlineLevel="0" collapsed="false">
      <c r="A273" s="31" t="n">
        <f aca="false">A272+1</f>
        <v>272</v>
      </c>
      <c r="B273" s="30" t="s">
        <v>880</v>
      </c>
      <c r="C273" s="30" t="s">
        <v>283</v>
      </c>
      <c r="D273" s="30" t="s">
        <v>284</v>
      </c>
      <c r="E273" s="30"/>
      <c r="F273" s="30"/>
      <c r="G273" s="28" t="s">
        <v>286</v>
      </c>
      <c r="H273" s="30"/>
      <c r="I273" s="28" t="s">
        <v>286</v>
      </c>
      <c r="J273" s="30"/>
      <c r="K273" s="30" t="n">
        <v>76</v>
      </c>
      <c r="L273" s="30" t="n">
        <v>110</v>
      </c>
      <c r="M273" s="30" t="n">
        <v>70</v>
      </c>
      <c r="N273" s="30" t="n">
        <v>81</v>
      </c>
      <c r="O273" s="30" t="n">
        <v>70</v>
      </c>
      <c r="P273" s="30" t="n">
        <v>123</v>
      </c>
      <c r="Q273" s="30" t="n">
        <f aca="false">SUM(K273:P273)</f>
        <v>530</v>
      </c>
      <c r="R273" s="30"/>
      <c r="S273" s="30"/>
      <c r="T273" s="30"/>
      <c r="U273" s="30"/>
      <c r="V273" s="16"/>
      <c r="W273" s="16"/>
    </row>
    <row r="274" customFormat="false" ht="13.5" hidden="false" customHeight="true" outlineLevel="0" collapsed="false">
      <c r="A274" s="31" t="n">
        <f aca="false">A273+1</f>
        <v>273</v>
      </c>
      <c r="B274" s="30" t="s">
        <v>881</v>
      </c>
      <c r="C274" s="30" t="s">
        <v>284</v>
      </c>
      <c r="D274" s="30" t="s">
        <v>293</v>
      </c>
      <c r="E274" s="30"/>
      <c r="F274" s="30" t="s">
        <v>309</v>
      </c>
      <c r="G274" s="28" t="s">
        <v>286</v>
      </c>
      <c r="H274" s="30" t="s">
        <v>310</v>
      </c>
      <c r="I274" s="28" t="s">
        <v>286</v>
      </c>
      <c r="J274" s="30" t="s">
        <v>436</v>
      </c>
      <c r="K274" s="30" t="n">
        <v>115</v>
      </c>
      <c r="L274" s="30" t="n">
        <v>115</v>
      </c>
      <c r="M274" s="30" t="n">
        <v>85</v>
      </c>
      <c r="N274" s="30" t="n">
        <v>90</v>
      </c>
      <c r="O274" s="30" t="n">
        <v>75</v>
      </c>
      <c r="P274" s="30" t="n">
        <v>100</v>
      </c>
      <c r="Q274" s="30" t="n">
        <f aca="false">SUM(K274:P274)</f>
        <v>580</v>
      </c>
      <c r="R274" s="30"/>
      <c r="S274" s="30" t="s">
        <v>882</v>
      </c>
      <c r="T274" s="30"/>
      <c r="U274" s="30" t="n">
        <v>1</v>
      </c>
      <c r="V274" s="16"/>
      <c r="W274" s="16"/>
    </row>
    <row r="275" customFormat="false" ht="13.5" hidden="false" customHeight="true" outlineLevel="0" collapsed="false">
      <c r="A275" s="31" t="n">
        <f aca="false">A274+1</f>
        <v>274</v>
      </c>
      <c r="B275" s="30" t="s">
        <v>883</v>
      </c>
      <c r="C275" s="30" t="s">
        <v>293</v>
      </c>
      <c r="D275" s="30" t="s">
        <v>301</v>
      </c>
      <c r="E275" s="30"/>
      <c r="F275" s="30" t="s">
        <v>325</v>
      </c>
      <c r="G275" s="28" t="s">
        <v>286</v>
      </c>
      <c r="H275" s="30" t="s">
        <v>326</v>
      </c>
      <c r="I275" s="28" t="s">
        <v>286</v>
      </c>
      <c r="J275" s="30" t="s">
        <v>476</v>
      </c>
      <c r="K275" s="30" t="n">
        <v>100</v>
      </c>
      <c r="L275" s="30" t="n">
        <v>75</v>
      </c>
      <c r="M275" s="30" t="n">
        <v>115</v>
      </c>
      <c r="N275" s="30" t="n">
        <v>90</v>
      </c>
      <c r="O275" s="30" t="n">
        <v>115</v>
      </c>
      <c r="P275" s="30" t="n">
        <v>85</v>
      </c>
      <c r="Q275" s="30" t="n">
        <f aca="false">SUM(K275:P275)</f>
        <v>580</v>
      </c>
      <c r="R275" s="30"/>
      <c r="S275" s="30" t="s">
        <v>882</v>
      </c>
      <c r="T275" s="30"/>
      <c r="U275" s="30" t="n">
        <v>1</v>
      </c>
      <c r="V275" s="16"/>
      <c r="W275" s="16"/>
    </row>
    <row r="276" customFormat="false" ht="13.5" hidden="false" customHeight="true" outlineLevel="0" collapsed="false">
      <c r="A276" s="31" t="n">
        <f aca="false">A275+1</f>
        <v>275</v>
      </c>
      <c r="B276" s="30" t="s">
        <v>884</v>
      </c>
      <c r="C276" s="30" t="s">
        <v>301</v>
      </c>
      <c r="D276" s="30" t="s">
        <v>306</v>
      </c>
      <c r="E276" s="30"/>
      <c r="F276" s="30" t="s">
        <v>400</v>
      </c>
      <c r="G276" s="28" t="s">
        <v>286</v>
      </c>
      <c r="H276" s="28" t="s">
        <v>401</v>
      </c>
      <c r="I276" s="28" t="s">
        <v>286</v>
      </c>
      <c r="J276" s="30" t="s">
        <v>402</v>
      </c>
      <c r="K276" s="30" t="n">
        <v>90</v>
      </c>
      <c r="L276" s="30" t="n">
        <v>85</v>
      </c>
      <c r="M276" s="30" t="n">
        <v>75</v>
      </c>
      <c r="N276" s="30" t="n">
        <v>115</v>
      </c>
      <c r="O276" s="30" t="n">
        <v>100</v>
      </c>
      <c r="P276" s="30" t="n">
        <v>115</v>
      </c>
      <c r="Q276" s="30" t="n">
        <f aca="false">SUM(K276:P276)</f>
        <v>580</v>
      </c>
      <c r="R276" s="30"/>
      <c r="S276" s="30" t="s">
        <v>882</v>
      </c>
      <c r="T276" s="30"/>
      <c r="U276" s="30" t="n">
        <v>1</v>
      </c>
      <c r="V276" s="16"/>
      <c r="W276" s="16"/>
    </row>
    <row r="277" customFormat="false" ht="14.25" hidden="false" customHeight="true" outlineLevel="0" collapsed="false">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customFormat="false" ht="14.25" hidden="false" customHeight="true" outlineLevel="0" collapsed="false">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customFormat="false" ht="14.25" hidden="false" customHeight="true" outlineLevel="0" collapsed="false">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customFormat="false" ht="14.25" hidden="false" customHeight="true" outlineLevel="0" collapsed="false">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customFormat="false" ht="14.25" hidden="false" customHeight="true" outlineLevel="0" collapsed="false">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customFormat="false" ht="14.25" hidden="false" customHeight="true" outlineLevel="0" collapsed="false">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customFormat="false" ht="14.25" hidden="false" customHeight="true" outlineLevel="0" collapsed="false">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customFormat="false" ht="14.25" hidden="false" customHeight="true" outlineLevel="0" collapsed="false">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customFormat="false" ht="14.25" hidden="false" customHeight="true" outlineLevel="0" collapsed="false">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customFormat="false" ht="14.25" hidden="false" customHeight="true" outlineLevel="0" collapsed="false">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customFormat="false" ht="14.25" hidden="false" customHeight="true" outlineLevel="0" collapsed="false">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customFormat="false" ht="14.25" hidden="false" customHeight="true" outlineLevel="0" collapsed="false">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customFormat="false" ht="14.25" hidden="false" customHeight="true" outlineLevel="0" collapsed="false">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customFormat="false" ht="14.25" hidden="false" customHeight="true" outlineLevel="0" collapsed="false">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customFormat="false" ht="14.25" hidden="false" customHeight="true" outlineLevel="0" collapsed="false">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customFormat="false" ht="14.25" hidden="false" customHeight="true" outlineLevel="0" collapsed="false">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customFormat="false" ht="14.25" hidden="false" customHeight="true" outlineLevel="0" collapsed="false">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customFormat="false" ht="14.25" hidden="false" customHeight="true" outlineLevel="0" collapsed="false">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customFormat="false" ht="14.25" hidden="false" customHeight="true" outlineLevel="0" collapsed="false">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customFormat="false" ht="14.25" hidden="false" customHeight="true" outlineLevel="0" collapsed="false">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customFormat="false" ht="14.25" hidden="false" customHeight="true" outlineLevel="0" collapsed="false">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customFormat="false" ht="14.25" hidden="false" customHeight="true" outlineLevel="0" collapsed="false">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customFormat="false" ht="14.25" hidden="false" customHeight="true" outlineLevel="0" collapsed="false">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customFormat="false" ht="14.25" hidden="false" customHeight="true" outlineLevel="0" collapsed="false">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customFormat="false" ht="14.25" hidden="false" customHeight="true" outlineLevel="0" collapsed="false">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customFormat="false" ht="14.25" hidden="false" customHeight="true" outlineLevel="0" collapsed="false">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customFormat="false" ht="14.25" hidden="false" customHeight="true" outlineLevel="0" collapsed="false">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customFormat="false" ht="14.25" hidden="false" customHeight="true" outlineLevel="0" collapsed="false">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customFormat="false" ht="14.25" hidden="false" customHeight="true" outlineLevel="0" collapsed="false">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customFormat="false" ht="14.25" hidden="false" customHeight="true" outlineLevel="0" collapsed="false">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customFormat="false" ht="14.25" hidden="false" customHeight="true" outlineLevel="0" collapsed="false">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customFormat="false" ht="14.25" hidden="false" customHeight="true" outlineLevel="0" collapsed="false">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customFormat="false" ht="14.25" hidden="false" customHeight="true" outlineLevel="0" collapsed="false">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customFormat="false" ht="14.25" hidden="false" customHeight="true" outlineLevel="0" collapsed="false">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customFormat="false" ht="14.25" hidden="false" customHeight="true" outlineLevel="0" collapsed="false">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customFormat="false" ht="14.25" hidden="false" customHeight="true" outlineLevel="0" collapsed="false">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customFormat="false" ht="14.25" hidden="false" customHeight="true" outlineLevel="0" collapsed="false">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customFormat="false" ht="14.25" hidden="false" customHeight="true" outlineLevel="0" collapsed="false">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customFormat="false" ht="14.25" hidden="false" customHeight="true" outlineLevel="0" collapsed="false">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customFormat="false" ht="14.25" hidden="false" customHeight="true" outlineLevel="0" collapsed="false">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customFormat="false" ht="14.25" hidden="false" customHeight="true" outlineLevel="0" collapsed="false">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customFormat="false" ht="14.25" hidden="false" customHeight="true" outlineLevel="0" collapsed="false">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customFormat="false" ht="14.25" hidden="false" customHeight="true" outlineLevel="0" collapsed="false">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customFormat="false" ht="14.25" hidden="false" customHeight="true" outlineLevel="0" collapsed="false">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customFormat="false" ht="14.25" hidden="false" customHeight="true" outlineLevel="0" collapsed="false">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customFormat="false" ht="14.25" hidden="false" customHeight="true" outlineLevel="0" collapsed="false">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customFormat="false" ht="14.25" hidden="false" customHeight="true" outlineLevel="0" collapsed="false">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customFormat="false" ht="14.25" hidden="false" customHeight="true" outlineLevel="0" collapsed="false">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customFormat="false" ht="14.25" hidden="false" customHeight="true" outlineLevel="0" collapsed="false">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customFormat="false" ht="14.25" hidden="false" customHeight="true" outlineLevel="0" collapsed="false">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customFormat="false" ht="14.25" hidden="false" customHeight="true" outlineLevel="0" collapsed="false">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customFormat="false" ht="14.25" hidden="false" customHeight="true" outlineLevel="0" collapsed="false">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customFormat="false" ht="14.25" hidden="false" customHeight="true" outlineLevel="0" collapsed="false">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customFormat="false" ht="14.25" hidden="false" customHeight="true" outlineLevel="0" collapsed="false">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customFormat="false" ht="14.25" hidden="false" customHeight="true" outlineLevel="0" collapsed="false">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customFormat="false" ht="14.25" hidden="false" customHeight="true" outlineLevel="0" collapsed="false">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customFormat="false" ht="14.25" hidden="false" customHeight="true" outlineLevel="0" collapsed="false">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customFormat="false" ht="14.25" hidden="false" customHeight="true" outlineLevel="0" collapsed="false">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customFormat="false" ht="14.25" hidden="false" customHeight="true" outlineLevel="0" collapsed="false">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customFormat="false" ht="14.25" hidden="false" customHeight="true" outlineLevel="0" collapsed="false">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customFormat="false" ht="14.25" hidden="false" customHeight="true" outlineLevel="0" collapsed="false">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customFormat="false" ht="14.25" hidden="false" customHeight="true" outlineLevel="0" collapsed="false">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customFormat="false" ht="14.25" hidden="false" customHeight="true" outlineLevel="0" collapsed="false">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customFormat="false" ht="14.25" hidden="false" customHeight="true" outlineLevel="0" collapsed="false">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customFormat="false" ht="14.25" hidden="false" customHeight="true" outlineLevel="0" collapsed="false">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customFormat="false" ht="14.25" hidden="false" customHeight="true" outlineLevel="0" collapsed="false">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customFormat="false" ht="14.25" hidden="false" customHeight="true" outlineLevel="0" collapsed="false">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customFormat="false" ht="14.25" hidden="false" customHeight="true" outlineLevel="0" collapsed="false">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customFormat="false" ht="14.25" hidden="false" customHeight="true" outlineLevel="0" collapsed="false">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customFormat="false" ht="14.25" hidden="false" customHeight="true" outlineLevel="0" collapsed="false">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customFormat="false" ht="14.25" hidden="false" customHeight="true" outlineLevel="0" collapsed="false">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customFormat="false" ht="14.25" hidden="false" customHeight="true" outlineLevel="0" collapsed="false">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customFormat="false" ht="14.25" hidden="false" customHeight="true" outlineLevel="0" collapsed="false">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customFormat="false" ht="14.25" hidden="false" customHeight="true" outlineLevel="0" collapsed="false">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customFormat="false" ht="14.25" hidden="false" customHeight="true" outlineLevel="0" collapsed="false">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customFormat="false" ht="14.25" hidden="false" customHeight="true" outlineLevel="0" collapsed="false">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customFormat="false" ht="14.25" hidden="false" customHeight="true" outlineLevel="0" collapsed="false">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customFormat="false" ht="14.25" hidden="false" customHeight="true" outlineLevel="0" collapsed="false">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customFormat="false" ht="14.25" hidden="false" customHeight="true" outlineLevel="0" collapsed="false">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customFormat="false" ht="14.25" hidden="false" customHeight="true" outlineLevel="0" collapsed="false">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customFormat="false" ht="14.25" hidden="false" customHeight="true" outlineLevel="0" collapsed="false">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customFormat="false" ht="14.25" hidden="false" customHeight="true" outlineLevel="0" collapsed="false">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customFormat="false" ht="14.25" hidden="false" customHeight="true" outlineLevel="0" collapsed="false">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customFormat="false" ht="14.25" hidden="false" customHeight="true" outlineLevel="0" collapsed="false">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customFormat="false" ht="14.25" hidden="false" customHeight="true" outlineLevel="0" collapsed="false">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customFormat="false" ht="14.25" hidden="false" customHeight="true" outlineLevel="0" collapsed="false">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customFormat="false" ht="14.25" hidden="false" customHeight="true" outlineLevel="0" collapsed="false">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customFormat="false" ht="14.25" hidden="false" customHeight="true" outlineLevel="0" collapsed="false">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customFormat="false" ht="14.25" hidden="false" customHeight="true" outlineLevel="0" collapsed="false">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customFormat="false" ht="14.25" hidden="false" customHeight="true" outlineLevel="0" collapsed="false">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customFormat="false" ht="14.25" hidden="false" customHeight="true" outlineLevel="0" collapsed="false">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customFormat="false" ht="14.25" hidden="false" customHeight="true" outlineLevel="0" collapsed="false">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customFormat="false" ht="14.25" hidden="false" customHeight="true" outlineLevel="0" collapsed="false">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customFormat="false" ht="14.25" hidden="false" customHeight="true" outlineLevel="0" collapsed="false">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customFormat="false" ht="14.25" hidden="false" customHeight="true" outlineLevel="0" collapsed="false">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customFormat="false" ht="14.25" hidden="false" customHeight="true" outlineLevel="0" collapsed="false">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customFormat="false" ht="14.25" hidden="false" customHeight="true" outlineLevel="0" collapsed="false">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customFormat="false" ht="14.25" hidden="false" customHeight="true" outlineLevel="0" collapsed="false">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customFormat="false" ht="14.25" hidden="false" customHeight="true" outlineLevel="0" collapsed="false">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customFormat="false" ht="14.25" hidden="false" customHeight="true" outlineLevel="0" collapsed="false">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customFormat="false" ht="14.25" hidden="false" customHeight="true" outlineLevel="0" collapsed="false">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customFormat="false" ht="14.25" hidden="false" customHeight="true" outlineLevel="0" collapsed="false">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customFormat="false" ht="14.25" hidden="false" customHeight="true" outlineLevel="0" collapsed="false">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customFormat="false" ht="14.25" hidden="false" customHeight="true" outlineLevel="0" collapsed="false">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customFormat="false" ht="14.25" hidden="false" customHeight="true" outlineLevel="0" collapsed="false">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customFormat="false" ht="14.25" hidden="false" customHeight="true" outlineLevel="0" collapsed="false">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customFormat="false" ht="14.25" hidden="false" customHeight="true" outlineLevel="0" collapsed="false">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customFormat="false" ht="14.25" hidden="false" customHeight="true" outlineLevel="0" collapsed="false">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customFormat="false" ht="14.25" hidden="false" customHeight="true" outlineLevel="0" collapsed="false">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customFormat="false" ht="14.25" hidden="false" customHeight="true" outlineLevel="0" collapsed="false">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customFormat="false" ht="14.25" hidden="false" customHeight="true" outlineLevel="0" collapsed="false">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customFormat="false" ht="14.25" hidden="false" customHeight="true" outlineLevel="0" collapsed="false">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customFormat="false" ht="14.25" hidden="false" customHeight="true" outlineLevel="0" collapsed="false">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customFormat="false" ht="14.25" hidden="false" customHeight="true" outlineLevel="0" collapsed="false">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customFormat="false" ht="14.25" hidden="false" customHeight="true" outlineLevel="0" collapsed="false">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customFormat="false" ht="14.25" hidden="false" customHeight="true" outlineLevel="0" collapsed="false">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customFormat="false" ht="14.25" hidden="false" customHeight="true" outlineLevel="0" collapsed="false">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customFormat="false" ht="14.25" hidden="false" customHeight="true" outlineLevel="0" collapsed="false">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customFormat="false" ht="14.25" hidden="false" customHeight="true" outlineLevel="0" collapsed="false">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customFormat="false" ht="14.25" hidden="false" customHeight="true" outlineLevel="0" collapsed="false">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customFormat="false" ht="14.25" hidden="false" customHeight="true" outlineLevel="0" collapsed="false">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customFormat="false" ht="14.25" hidden="false" customHeight="true" outlineLevel="0" collapsed="false">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customFormat="false" ht="14.25" hidden="false" customHeight="true" outlineLevel="0" collapsed="false">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customFormat="false" ht="14.25" hidden="false" customHeight="true" outlineLevel="0" collapsed="false">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customFormat="false" ht="14.25" hidden="false" customHeight="true" outlineLevel="0" collapsed="false">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customFormat="false" ht="14.25" hidden="false" customHeight="true" outlineLevel="0" collapsed="false">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customFormat="false" ht="14.25" hidden="false" customHeight="true" outlineLevel="0" collapsed="false">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customFormat="false" ht="14.25" hidden="false" customHeight="true" outlineLevel="0" collapsed="false">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customFormat="false" ht="14.25" hidden="false" customHeight="true" outlineLevel="0" collapsed="false">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customFormat="false" ht="14.25" hidden="false" customHeight="true" outlineLevel="0" collapsed="false">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customFormat="false" ht="14.25" hidden="false" customHeight="true" outlineLevel="0" collapsed="false">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customFormat="false" ht="14.25" hidden="false" customHeight="true" outlineLevel="0" collapsed="false">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customFormat="false" ht="14.25" hidden="false" customHeight="true" outlineLevel="0" collapsed="false">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customFormat="false" ht="14.25" hidden="false" customHeight="true" outlineLevel="0" collapsed="false">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customFormat="false" ht="14.25" hidden="false" customHeight="true" outlineLevel="0" collapsed="false">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customFormat="false" ht="14.25" hidden="false" customHeight="true" outlineLevel="0" collapsed="false">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customFormat="false" ht="14.25" hidden="false" customHeight="true" outlineLevel="0" collapsed="false">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customFormat="false" ht="14.25" hidden="false" customHeight="true" outlineLevel="0" collapsed="false">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customFormat="false" ht="14.25" hidden="false" customHeight="true" outlineLevel="0" collapsed="false">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customFormat="false" ht="14.25" hidden="false" customHeight="true" outlineLevel="0" collapsed="false">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customFormat="false" ht="14.25" hidden="false" customHeight="true" outlineLevel="0" collapsed="false">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customFormat="false" ht="14.25" hidden="false" customHeight="true" outlineLevel="0" collapsed="false">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customFormat="false" ht="14.25" hidden="false" customHeight="true" outlineLevel="0" collapsed="false">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customFormat="false" ht="14.25" hidden="false" customHeight="true" outlineLevel="0" collapsed="false">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customFormat="false" ht="14.25" hidden="false" customHeight="true" outlineLevel="0" collapsed="false">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customFormat="false" ht="14.25" hidden="false" customHeight="true" outlineLevel="0" collapsed="false">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customFormat="false" ht="14.25" hidden="false" customHeight="true" outlineLevel="0" collapsed="false">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customFormat="false" ht="14.25" hidden="false" customHeight="true" outlineLevel="0" collapsed="false">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customFormat="false" ht="14.25" hidden="false" customHeight="true" outlineLevel="0" collapsed="false">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customFormat="false" ht="14.25" hidden="false" customHeight="true" outlineLevel="0" collapsed="false">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customFormat="false" ht="14.25" hidden="false" customHeight="true" outlineLevel="0" collapsed="false">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customFormat="false" ht="14.25" hidden="false" customHeight="true" outlineLevel="0" collapsed="false">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customFormat="false" ht="14.25" hidden="false" customHeight="true" outlineLevel="0" collapsed="false">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customFormat="false" ht="14.25" hidden="false" customHeight="true" outlineLevel="0" collapsed="false">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customFormat="false" ht="14.25" hidden="false" customHeight="true" outlineLevel="0" collapsed="false">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customFormat="false" ht="14.25" hidden="false" customHeight="true" outlineLevel="0" collapsed="false">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customFormat="false" ht="14.25" hidden="false" customHeight="true" outlineLevel="0" collapsed="false">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customFormat="false" ht="14.25" hidden="false" customHeight="true" outlineLevel="0" collapsed="false">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customFormat="false" ht="14.25" hidden="false" customHeight="true" outlineLevel="0" collapsed="false">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customFormat="false" ht="14.25" hidden="false" customHeight="true" outlineLevel="0" collapsed="false">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customFormat="false" ht="14.25" hidden="false" customHeight="true" outlineLevel="0" collapsed="false">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customFormat="false" ht="14.25" hidden="false" customHeight="true" outlineLevel="0" collapsed="false">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customFormat="false" ht="14.25" hidden="false" customHeight="true" outlineLevel="0" collapsed="false">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customFormat="false" ht="14.25" hidden="false" customHeight="true" outlineLevel="0" collapsed="false">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customFormat="false" ht="14.25" hidden="false" customHeight="true" outlineLevel="0" collapsed="false">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customFormat="false" ht="14.25" hidden="false" customHeight="true" outlineLevel="0" collapsed="false">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customFormat="false" ht="14.25" hidden="false" customHeight="true" outlineLevel="0" collapsed="false">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customFormat="false" ht="14.25" hidden="false" customHeight="true" outlineLevel="0" collapsed="false">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customFormat="false" ht="14.25" hidden="false" customHeight="true" outlineLevel="0" collapsed="false">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customFormat="false" ht="14.25" hidden="false" customHeight="true" outlineLevel="0" collapsed="false">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customFormat="false" ht="14.25" hidden="false" customHeight="true" outlineLevel="0" collapsed="false">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customFormat="false" ht="14.25" hidden="false" customHeight="true" outlineLevel="0" collapsed="false">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customFormat="false" ht="14.25" hidden="false" customHeight="true" outlineLevel="0" collapsed="false">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customFormat="false" ht="14.25" hidden="false" customHeight="true" outlineLevel="0" collapsed="false">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customFormat="false" ht="14.25" hidden="false" customHeight="true" outlineLevel="0" collapsed="false">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customFormat="false" ht="14.25" hidden="false" customHeight="true" outlineLevel="0" collapsed="false">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customFormat="false" ht="14.25" hidden="false" customHeight="true" outlineLevel="0" collapsed="false">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customFormat="false" ht="14.25" hidden="false" customHeight="true" outlineLevel="0" collapsed="false">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customFormat="false" ht="14.25" hidden="false" customHeight="true" outlineLevel="0" collapsed="false">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customFormat="false" ht="14.25" hidden="false" customHeight="true" outlineLevel="0" collapsed="false">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customFormat="false" ht="14.25" hidden="false" customHeight="true" outlineLevel="0" collapsed="false">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customFormat="false" ht="14.25" hidden="false" customHeight="true" outlineLevel="0" collapsed="false">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customFormat="false" ht="14.25" hidden="false" customHeight="true" outlineLevel="0" collapsed="false">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customFormat="false" ht="14.25" hidden="false" customHeight="true" outlineLevel="0" collapsed="false">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customFormat="false" ht="14.25" hidden="false" customHeight="true" outlineLevel="0" collapsed="false">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customFormat="false" ht="14.25" hidden="false" customHeight="true" outlineLevel="0" collapsed="false">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customFormat="false" ht="14.25" hidden="false" customHeight="true" outlineLevel="0" collapsed="false">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customFormat="false" ht="14.25" hidden="false" customHeight="true" outlineLevel="0" collapsed="false">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customFormat="false" ht="14.25" hidden="false" customHeight="true" outlineLevel="0" collapsed="false">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customFormat="false" ht="14.25" hidden="false" customHeight="true" outlineLevel="0" collapsed="false">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customFormat="false" ht="14.25" hidden="false" customHeight="true" outlineLevel="0" collapsed="false">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customFormat="false" ht="14.25" hidden="false" customHeight="true" outlineLevel="0" collapsed="false">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customFormat="false" ht="14.25" hidden="false" customHeight="true" outlineLevel="0" collapsed="false">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customFormat="false" ht="14.25" hidden="false" customHeight="true" outlineLevel="0" collapsed="false">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customFormat="false" ht="14.25" hidden="false" customHeight="true" outlineLevel="0" collapsed="false">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customFormat="false" ht="14.25" hidden="false" customHeight="true" outlineLevel="0" collapsed="false">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customFormat="false" ht="14.25" hidden="false" customHeight="true" outlineLevel="0" collapsed="false">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customFormat="false" ht="14.25" hidden="false" customHeight="true" outlineLevel="0" collapsed="false">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customFormat="false" ht="14.25" hidden="false" customHeight="true" outlineLevel="0" collapsed="false">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customFormat="false" ht="14.25" hidden="false" customHeight="true" outlineLevel="0" collapsed="false">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customFormat="false" ht="14.25" hidden="false" customHeight="true" outlineLevel="0" collapsed="false">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customFormat="false" ht="14.25" hidden="false" customHeight="true" outlineLevel="0" collapsed="false">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customFormat="false" ht="14.25" hidden="false" customHeight="true" outlineLevel="0" collapsed="false">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customFormat="false" ht="14.25" hidden="false" customHeight="true" outlineLevel="0" collapsed="false">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customFormat="false" ht="14.25" hidden="false" customHeight="true" outlineLevel="0" collapsed="false">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customFormat="false" ht="14.25" hidden="false" customHeight="true" outlineLevel="0" collapsed="false">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customFormat="false" ht="14.25" hidden="false" customHeight="true" outlineLevel="0" collapsed="false">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customFormat="false" ht="14.25" hidden="false" customHeight="true" outlineLevel="0" collapsed="false">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customFormat="false" ht="14.25" hidden="false" customHeight="true" outlineLevel="0" collapsed="false">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customFormat="false" ht="14.25" hidden="false" customHeight="true" outlineLevel="0" collapsed="false">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customFormat="false" ht="14.25" hidden="false" customHeight="true" outlineLevel="0" collapsed="false">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customFormat="false" ht="14.25" hidden="false" customHeight="true" outlineLevel="0" collapsed="false">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customFormat="false" ht="14.25" hidden="false" customHeight="true" outlineLevel="0" collapsed="false">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customFormat="false" ht="14.25" hidden="false" customHeight="true" outlineLevel="0" collapsed="false">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customFormat="false" ht="14.25" hidden="false" customHeight="true" outlineLevel="0" collapsed="false">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customFormat="false" ht="14.25" hidden="false" customHeight="true" outlineLevel="0" collapsed="false">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customFormat="false" ht="14.25" hidden="false" customHeight="true" outlineLevel="0" collapsed="false">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customFormat="false" ht="14.25" hidden="false" customHeight="true" outlineLevel="0" collapsed="false">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customFormat="false" ht="14.25" hidden="false" customHeight="true" outlineLevel="0" collapsed="false">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customFormat="false" ht="14.25" hidden="false" customHeight="true" outlineLevel="0" collapsed="false">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customFormat="false" ht="14.25" hidden="false" customHeight="true" outlineLevel="0" collapsed="false">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customFormat="false" ht="14.25" hidden="false" customHeight="true" outlineLevel="0" collapsed="false">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customFormat="false" ht="14.25" hidden="false" customHeight="true" outlineLevel="0" collapsed="false">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customFormat="false" ht="14.25" hidden="false" customHeight="true" outlineLevel="0" collapsed="false">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customFormat="false" ht="14.25" hidden="false" customHeight="true" outlineLevel="0" collapsed="false">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customFormat="false" ht="14.25" hidden="false" customHeight="true" outlineLevel="0" collapsed="false">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customFormat="false" ht="14.25" hidden="false" customHeight="true" outlineLevel="0" collapsed="false">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customFormat="false" ht="14.25" hidden="false" customHeight="true" outlineLevel="0" collapsed="false">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customFormat="false" ht="14.25" hidden="false" customHeight="true" outlineLevel="0" collapsed="false">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customFormat="false" ht="14.25" hidden="false" customHeight="true" outlineLevel="0" collapsed="false">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customFormat="false" ht="14.25" hidden="false" customHeight="true" outlineLevel="0" collapsed="false">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customFormat="false" ht="14.25" hidden="false" customHeight="true" outlineLevel="0" collapsed="false">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customFormat="false" ht="14.25" hidden="false" customHeight="true" outlineLevel="0" collapsed="false">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customFormat="false" ht="14.25" hidden="false" customHeight="true" outlineLevel="0" collapsed="false">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customFormat="false" ht="14.25" hidden="false" customHeight="true" outlineLevel="0" collapsed="false">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customFormat="false" ht="14.25" hidden="false" customHeight="true" outlineLevel="0" collapsed="false">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customFormat="false" ht="14.25" hidden="false" customHeight="true" outlineLevel="0" collapsed="false">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customFormat="false" ht="14.25" hidden="false" customHeight="true" outlineLevel="0" collapsed="false">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customFormat="false" ht="14.25" hidden="false" customHeight="true" outlineLevel="0" collapsed="false">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customFormat="false" ht="14.25" hidden="false" customHeight="true" outlineLevel="0" collapsed="false">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customFormat="false" ht="14.25" hidden="false" customHeight="true" outlineLevel="0" collapsed="false">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customFormat="false" ht="14.25" hidden="false" customHeight="true" outlineLevel="0" collapsed="false">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customFormat="false" ht="14.25" hidden="false" customHeight="true" outlineLevel="0" collapsed="false">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customFormat="false" ht="14.25" hidden="false" customHeight="true" outlineLevel="0" collapsed="false">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customFormat="false" ht="14.25" hidden="false" customHeight="true" outlineLevel="0" collapsed="false">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customFormat="false" ht="14.25" hidden="false" customHeight="true" outlineLevel="0" collapsed="false">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customFormat="false" ht="14.25" hidden="false" customHeight="true" outlineLevel="0" collapsed="false">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customFormat="false" ht="14.25" hidden="false" customHeight="true" outlineLevel="0" collapsed="false">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customFormat="false" ht="14.25" hidden="false" customHeight="true" outlineLevel="0" collapsed="false">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customFormat="false" ht="14.25" hidden="false" customHeight="true" outlineLevel="0" collapsed="false">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customFormat="false" ht="14.25" hidden="false" customHeight="true" outlineLevel="0" collapsed="false">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customFormat="false" ht="14.25" hidden="false" customHeight="true" outlineLevel="0" collapsed="false">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customFormat="false" ht="14.25" hidden="false" customHeight="true" outlineLevel="0" collapsed="false">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customFormat="false" ht="14.25" hidden="false" customHeight="true" outlineLevel="0" collapsed="false">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customFormat="false" ht="14.25" hidden="false" customHeight="true" outlineLevel="0" collapsed="false">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customFormat="false" ht="14.25" hidden="false" customHeight="true" outlineLevel="0" collapsed="false">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customFormat="false" ht="14.25" hidden="false" customHeight="true" outlineLevel="0" collapsed="false">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customFormat="false" ht="14.25" hidden="false" customHeight="true" outlineLevel="0" collapsed="false">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customFormat="false" ht="14.25" hidden="false" customHeight="true" outlineLevel="0" collapsed="false">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customFormat="false" ht="14.25" hidden="false" customHeight="true" outlineLevel="0" collapsed="false">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customFormat="false" ht="14.25" hidden="false" customHeight="true" outlineLevel="0" collapsed="false">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customFormat="false" ht="14.25" hidden="false" customHeight="true" outlineLevel="0" collapsed="false">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customFormat="false" ht="14.25" hidden="false" customHeight="true" outlineLevel="0" collapsed="false">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customFormat="false" ht="14.25" hidden="false" customHeight="true" outlineLevel="0" collapsed="false">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customFormat="false" ht="14.25" hidden="false" customHeight="true" outlineLevel="0" collapsed="false">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customFormat="false" ht="14.25" hidden="false" customHeight="true" outlineLevel="0" collapsed="false">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customFormat="false" ht="14.25" hidden="false" customHeight="true" outlineLevel="0" collapsed="false">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customFormat="false" ht="14.25" hidden="false" customHeight="true" outlineLevel="0" collapsed="false">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customFormat="false" ht="14.25" hidden="false" customHeight="true" outlineLevel="0" collapsed="false">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customFormat="false" ht="14.25" hidden="false" customHeight="true" outlineLevel="0" collapsed="false">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customFormat="false" ht="14.25" hidden="false" customHeight="true" outlineLevel="0" collapsed="false">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customFormat="false" ht="14.25" hidden="false" customHeight="true" outlineLevel="0" collapsed="false">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customFormat="false" ht="14.25" hidden="false" customHeight="true" outlineLevel="0" collapsed="false">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customFormat="false" ht="14.25" hidden="false" customHeight="true" outlineLevel="0" collapsed="false">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customFormat="false" ht="14.25" hidden="false" customHeight="true" outlineLevel="0" collapsed="false">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customFormat="false" ht="14.25" hidden="false" customHeight="true" outlineLevel="0" collapsed="false">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customFormat="false" ht="14.25" hidden="false" customHeight="true" outlineLevel="0" collapsed="false">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customFormat="false" ht="14.25" hidden="false" customHeight="true" outlineLevel="0" collapsed="false">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customFormat="false" ht="14.25" hidden="false" customHeight="true" outlineLevel="0" collapsed="false">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customFormat="false" ht="14.25" hidden="false" customHeight="true" outlineLevel="0" collapsed="false">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customFormat="false" ht="14.25" hidden="false" customHeight="true" outlineLevel="0" collapsed="false">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customFormat="false" ht="14.25" hidden="false" customHeight="true" outlineLevel="0" collapsed="false">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customFormat="false" ht="14.25" hidden="false" customHeight="true" outlineLevel="0" collapsed="false">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customFormat="false" ht="14.25" hidden="false" customHeight="true" outlineLevel="0" collapsed="false">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customFormat="false" ht="14.25" hidden="false" customHeight="true" outlineLevel="0" collapsed="false">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customFormat="false" ht="14.25" hidden="false" customHeight="true" outlineLevel="0" collapsed="false">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customFormat="false" ht="14.25" hidden="false" customHeight="true" outlineLevel="0" collapsed="false">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customFormat="false" ht="14.25" hidden="false" customHeight="true" outlineLevel="0" collapsed="false">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customFormat="false" ht="14.25" hidden="false" customHeight="true" outlineLevel="0" collapsed="false">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customFormat="false" ht="14.25" hidden="false" customHeight="true" outlineLevel="0" collapsed="false">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customFormat="false" ht="14.25" hidden="false" customHeight="true" outlineLevel="0" collapsed="false">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customFormat="false" ht="14.25" hidden="false" customHeight="true" outlineLevel="0" collapsed="false">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customFormat="false" ht="14.25" hidden="false" customHeight="true" outlineLevel="0" collapsed="false">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customFormat="false" ht="14.25" hidden="false" customHeight="true" outlineLevel="0" collapsed="false">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customFormat="false" ht="14.25" hidden="false" customHeight="true" outlineLevel="0" collapsed="false">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customFormat="false" ht="14.25" hidden="false" customHeight="true" outlineLevel="0" collapsed="false">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customFormat="false" ht="14.25" hidden="false" customHeight="true" outlineLevel="0" collapsed="false">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customFormat="false" ht="14.25" hidden="false" customHeight="true" outlineLevel="0" collapsed="false">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customFormat="false" ht="14.25" hidden="false" customHeight="true" outlineLevel="0" collapsed="false">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customFormat="false" ht="14.25" hidden="false" customHeight="true" outlineLevel="0" collapsed="false">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customFormat="false" ht="14.25" hidden="false" customHeight="true" outlineLevel="0" collapsed="false">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customFormat="false" ht="14.25" hidden="false" customHeight="true" outlineLevel="0" collapsed="false">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customFormat="false" ht="14.25" hidden="false" customHeight="true" outlineLevel="0" collapsed="false">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customFormat="false" ht="14.25" hidden="false" customHeight="true" outlineLevel="0" collapsed="false">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customFormat="false" ht="14.25" hidden="false" customHeight="true" outlineLevel="0" collapsed="false">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customFormat="false" ht="14.25" hidden="false" customHeight="true" outlineLevel="0" collapsed="false">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customFormat="false" ht="14.25" hidden="false" customHeight="true" outlineLevel="0" collapsed="false">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customFormat="false" ht="14.25" hidden="false" customHeight="true" outlineLevel="0" collapsed="false">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customFormat="false" ht="14.25" hidden="false" customHeight="true" outlineLevel="0" collapsed="false">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customFormat="false" ht="14.25" hidden="false" customHeight="true" outlineLevel="0" collapsed="false">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customFormat="false" ht="14.25" hidden="false" customHeight="true" outlineLevel="0" collapsed="false">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customFormat="false" ht="14.25" hidden="false" customHeight="true" outlineLevel="0" collapsed="false">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customFormat="false" ht="14.25" hidden="false" customHeight="true" outlineLevel="0" collapsed="false">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customFormat="false" ht="14.25" hidden="false" customHeight="true" outlineLevel="0" collapsed="false">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customFormat="false" ht="14.25" hidden="false" customHeight="true" outlineLevel="0" collapsed="false">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customFormat="false" ht="14.25" hidden="false" customHeight="true" outlineLevel="0" collapsed="false">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customFormat="false" ht="14.25" hidden="false" customHeight="true" outlineLevel="0" collapsed="false">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customFormat="false" ht="14.25" hidden="false" customHeight="true" outlineLevel="0" collapsed="false">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customFormat="false" ht="14.25" hidden="false" customHeight="true" outlineLevel="0" collapsed="false">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customFormat="false" ht="14.25" hidden="false" customHeight="true" outlineLevel="0" collapsed="false">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customFormat="false" ht="14.25" hidden="false" customHeight="true" outlineLevel="0" collapsed="false">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customFormat="false" ht="14.25" hidden="false" customHeight="true" outlineLevel="0" collapsed="false">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customFormat="false" ht="14.25" hidden="false" customHeight="true" outlineLevel="0" collapsed="false">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customFormat="false" ht="14.25" hidden="false" customHeight="true" outlineLevel="0" collapsed="false">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customFormat="false" ht="14.25" hidden="false" customHeight="true" outlineLevel="0" collapsed="false">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customFormat="false" ht="14.25" hidden="false" customHeight="true" outlineLevel="0" collapsed="false">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customFormat="false" ht="14.25" hidden="false" customHeight="true" outlineLevel="0" collapsed="false">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customFormat="false" ht="14.25" hidden="false" customHeight="true" outlineLevel="0" collapsed="false">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customFormat="false" ht="14.25" hidden="false" customHeight="true" outlineLevel="0" collapsed="false">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customFormat="false" ht="14.25" hidden="false" customHeight="true" outlineLevel="0" collapsed="false">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customFormat="false" ht="14.25" hidden="false" customHeight="true" outlineLevel="0" collapsed="false">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customFormat="false" ht="14.25" hidden="false" customHeight="true" outlineLevel="0" collapsed="false">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customFormat="false" ht="14.25" hidden="false" customHeight="true" outlineLevel="0" collapsed="false">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customFormat="false" ht="14.25" hidden="false" customHeight="true" outlineLevel="0" collapsed="false">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customFormat="false" ht="14.25" hidden="false" customHeight="true" outlineLevel="0" collapsed="false">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customFormat="false" ht="14.25" hidden="false" customHeight="true" outlineLevel="0" collapsed="false">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customFormat="false" ht="14.25" hidden="false" customHeight="true" outlineLevel="0" collapsed="false">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customFormat="false" ht="14.25" hidden="false" customHeight="true" outlineLevel="0" collapsed="false">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customFormat="false" ht="14.25" hidden="false" customHeight="true" outlineLevel="0" collapsed="false">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customFormat="false" ht="14.25" hidden="false" customHeight="true" outlineLevel="0" collapsed="false">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customFormat="false" ht="14.25" hidden="false" customHeight="true" outlineLevel="0" collapsed="false">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customFormat="false" ht="14.25" hidden="false" customHeight="true" outlineLevel="0" collapsed="false">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customFormat="false" ht="14.25" hidden="false" customHeight="true" outlineLevel="0" collapsed="false">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customFormat="false" ht="14.25" hidden="false" customHeight="true" outlineLevel="0" collapsed="false">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customFormat="false" ht="14.25" hidden="false" customHeight="true" outlineLevel="0" collapsed="false">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customFormat="false" ht="14.25" hidden="false" customHeight="true" outlineLevel="0" collapsed="false">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customFormat="false" ht="14.25" hidden="false" customHeight="true" outlineLevel="0" collapsed="false">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customFormat="false" ht="14.25" hidden="false" customHeight="true" outlineLevel="0" collapsed="false">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customFormat="false" ht="14.25" hidden="false" customHeight="true" outlineLevel="0" collapsed="false">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customFormat="false" ht="14.25" hidden="false" customHeight="true" outlineLevel="0" collapsed="false">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customFormat="false" ht="14.25" hidden="false" customHeight="true" outlineLevel="0" collapsed="false">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customFormat="false" ht="14.25" hidden="false" customHeight="true" outlineLevel="0" collapsed="false">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customFormat="false" ht="14.25" hidden="false" customHeight="true" outlineLevel="0" collapsed="false">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customFormat="false" ht="14.25" hidden="false" customHeight="true" outlineLevel="0" collapsed="false">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customFormat="false" ht="14.25" hidden="false" customHeight="true" outlineLevel="0" collapsed="false">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customFormat="false" ht="14.25" hidden="false" customHeight="true" outlineLevel="0" collapsed="false">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customFormat="false" ht="14.25" hidden="false" customHeight="true" outlineLevel="0" collapsed="false">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customFormat="false" ht="14.25" hidden="false" customHeight="true" outlineLevel="0" collapsed="false">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customFormat="false" ht="14.25" hidden="false" customHeight="true" outlineLevel="0" collapsed="false">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customFormat="false" ht="14.25" hidden="false" customHeight="true" outlineLevel="0" collapsed="false">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customFormat="false" ht="14.25" hidden="false" customHeight="true" outlineLevel="0" collapsed="false">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customFormat="false" ht="14.25" hidden="false" customHeight="true" outlineLevel="0" collapsed="false">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customFormat="false" ht="14.25" hidden="false" customHeight="true" outlineLevel="0" collapsed="false">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customFormat="false" ht="14.25" hidden="false" customHeight="true" outlineLevel="0" collapsed="false">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customFormat="false" ht="14.25" hidden="false" customHeight="true" outlineLevel="0" collapsed="false">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customFormat="false" ht="14.25" hidden="false" customHeight="true" outlineLevel="0" collapsed="false">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customFormat="false" ht="14.25" hidden="false" customHeight="true" outlineLevel="0" collapsed="false">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customFormat="false" ht="14.25" hidden="false" customHeight="true" outlineLevel="0" collapsed="false">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customFormat="false" ht="14.25" hidden="false" customHeight="true" outlineLevel="0" collapsed="false">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customFormat="false" ht="14.25" hidden="false" customHeight="true" outlineLevel="0" collapsed="false">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customFormat="false" ht="14.25" hidden="false" customHeight="true" outlineLevel="0" collapsed="false">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customFormat="false" ht="14.25" hidden="false" customHeight="true" outlineLevel="0" collapsed="false">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customFormat="false" ht="14.25" hidden="false" customHeight="true" outlineLevel="0" collapsed="false">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customFormat="false" ht="14.25" hidden="false" customHeight="true" outlineLevel="0" collapsed="false">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customFormat="false" ht="14.25" hidden="false" customHeight="true" outlineLevel="0" collapsed="false">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customFormat="false" ht="14.25" hidden="false" customHeight="true" outlineLevel="0" collapsed="false">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customFormat="false" ht="14.25" hidden="false" customHeight="true" outlineLevel="0" collapsed="false">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customFormat="false" ht="14.25" hidden="false" customHeight="true" outlineLevel="0" collapsed="false">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customFormat="false" ht="14.25" hidden="false" customHeight="true" outlineLevel="0" collapsed="false">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customFormat="false" ht="14.25" hidden="false" customHeight="true" outlineLevel="0" collapsed="false">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customFormat="false" ht="14.25" hidden="false" customHeight="true" outlineLevel="0" collapsed="false">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customFormat="false" ht="14.25" hidden="false" customHeight="true" outlineLevel="0" collapsed="false">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customFormat="false" ht="14.25" hidden="false" customHeight="true" outlineLevel="0" collapsed="false">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customFormat="false" ht="14.25" hidden="false" customHeight="true" outlineLevel="0" collapsed="false">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customFormat="false" ht="14.25" hidden="false" customHeight="true" outlineLevel="0" collapsed="false">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customFormat="false" ht="14.25" hidden="false" customHeight="true" outlineLevel="0" collapsed="false">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customFormat="false" ht="14.25" hidden="false" customHeight="true" outlineLevel="0" collapsed="false">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customFormat="false" ht="14.25" hidden="false" customHeight="true" outlineLevel="0" collapsed="false">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customFormat="false" ht="14.25" hidden="false" customHeight="true" outlineLevel="0" collapsed="false">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customFormat="false" ht="14.25" hidden="false" customHeight="true" outlineLevel="0" collapsed="false">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customFormat="false" ht="14.25" hidden="false" customHeight="true" outlineLevel="0" collapsed="false">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customFormat="false" ht="14.25" hidden="false" customHeight="true" outlineLevel="0" collapsed="false">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customFormat="false" ht="14.25" hidden="false" customHeight="true" outlineLevel="0" collapsed="false">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customFormat="false" ht="14.25" hidden="false" customHeight="true" outlineLevel="0" collapsed="false">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customFormat="false" ht="14.25" hidden="false" customHeight="true" outlineLevel="0" collapsed="false">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customFormat="false" ht="14.25" hidden="false" customHeight="true" outlineLevel="0" collapsed="false">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customFormat="false" ht="14.25" hidden="false" customHeight="true" outlineLevel="0" collapsed="false">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customFormat="false" ht="14.25" hidden="false" customHeight="true" outlineLevel="0" collapsed="false">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customFormat="false" ht="14.25" hidden="false" customHeight="true" outlineLevel="0" collapsed="false">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customFormat="false" ht="14.25" hidden="false" customHeight="true" outlineLevel="0" collapsed="false">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customFormat="false" ht="14.25" hidden="false" customHeight="true" outlineLevel="0" collapsed="false">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customFormat="false" ht="14.25" hidden="false" customHeight="true" outlineLevel="0" collapsed="false">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customFormat="false" ht="14.25" hidden="false" customHeight="true" outlineLevel="0" collapsed="false">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customFormat="false" ht="14.25" hidden="false" customHeight="true" outlineLevel="0" collapsed="false">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customFormat="false" ht="14.25" hidden="false" customHeight="true" outlineLevel="0" collapsed="false">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customFormat="false" ht="14.25" hidden="false" customHeight="true" outlineLevel="0" collapsed="false">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customFormat="false" ht="14.25" hidden="false" customHeight="true" outlineLevel="0" collapsed="false">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customFormat="false" ht="14.25" hidden="false" customHeight="true" outlineLevel="0" collapsed="false">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customFormat="false" ht="14.25" hidden="false" customHeight="true" outlineLevel="0" collapsed="false">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customFormat="false" ht="14.25" hidden="false" customHeight="true" outlineLevel="0" collapsed="false">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customFormat="false" ht="14.25" hidden="false" customHeight="true" outlineLevel="0" collapsed="false">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customFormat="false" ht="14.25" hidden="false" customHeight="true" outlineLevel="0" collapsed="false">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customFormat="false" ht="14.25" hidden="false" customHeight="true" outlineLevel="0" collapsed="false">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customFormat="false" ht="14.25" hidden="false" customHeight="true" outlineLevel="0" collapsed="false">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customFormat="false" ht="14.25" hidden="false" customHeight="true" outlineLevel="0" collapsed="false">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customFormat="false" ht="14.25" hidden="false" customHeight="true" outlineLevel="0" collapsed="false">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customFormat="false" ht="14.25" hidden="false" customHeight="true" outlineLevel="0" collapsed="false">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customFormat="false" ht="14.25" hidden="false" customHeight="true" outlineLevel="0" collapsed="false">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customFormat="false" ht="14.25" hidden="false" customHeight="true" outlineLevel="0" collapsed="false">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customFormat="false" ht="14.25" hidden="false" customHeight="true" outlineLevel="0" collapsed="false">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customFormat="false" ht="14.25" hidden="false" customHeight="true" outlineLevel="0" collapsed="false">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customFormat="false" ht="14.25" hidden="false" customHeight="true" outlineLevel="0" collapsed="false">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customFormat="false" ht="14.25" hidden="false" customHeight="true" outlineLevel="0" collapsed="false">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customFormat="false" ht="14.25" hidden="false" customHeight="true" outlineLevel="0" collapsed="false">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customFormat="false" ht="14.25" hidden="false" customHeight="true" outlineLevel="0" collapsed="false">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customFormat="false" ht="14.25" hidden="false" customHeight="true" outlineLevel="0" collapsed="false">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customFormat="false" ht="14.25" hidden="false" customHeight="true" outlineLevel="0" collapsed="false">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customFormat="false" ht="14.25" hidden="false" customHeight="true" outlineLevel="0" collapsed="false">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customFormat="false" ht="14.25" hidden="false" customHeight="true" outlineLevel="0" collapsed="false">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customFormat="false" ht="14.25" hidden="false" customHeight="true" outlineLevel="0" collapsed="false">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customFormat="false" ht="14.25" hidden="false" customHeight="true" outlineLevel="0" collapsed="false">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customFormat="false" ht="14.25" hidden="false" customHeight="true" outlineLevel="0" collapsed="false">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customFormat="false" ht="14.25" hidden="false" customHeight="true" outlineLevel="0" collapsed="false">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customFormat="false" ht="14.25" hidden="false" customHeight="true" outlineLevel="0" collapsed="false">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customFormat="false" ht="14.25" hidden="false" customHeight="true" outlineLevel="0" collapsed="false">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customFormat="false" ht="14.25" hidden="false" customHeight="true" outlineLevel="0" collapsed="false">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customFormat="false" ht="14.25" hidden="false" customHeight="true" outlineLevel="0" collapsed="false">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customFormat="false" ht="14.25" hidden="false" customHeight="true" outlineLevel="0" collapsed="false">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customFormat="false" ht="14.25" hidden="false" customHeight="true" outlineLevel="0" collapsed="false">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customFormat="false" ht="14.25" hidden="false" customHeight="true" outlineLevel="0" collapsed="false">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customFormat="false" ht="14.25" hidden="false" customHeight="true" outlineLevel="0" collapsed="false">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customFormat="false" ht="14.25" hidden="false" customHeight="true" outlineLevel="0" collapsed="false">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customFormat="false" ht="14.25" hidden="false" customHeight="true" outlineLevel="0" collapsed="false">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customFormat="false" ht="14.25" hidden="false" customHeight="true" outlineLevel="0" collapsed="false">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customFormat="false" ht="14.25" hidden="false" customHeight="true" outlineLevel="0" collapsed="false">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customFormat="false" ht="14.25" hidden="false" customHeight="true" outlineLevel="0" collapsed="false">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customFormat="false" ht="14.25" hidden="false" customHeight="true" outlineLevel="0" collapsed="false">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customFormat="false" ht="14.25" hidden="false" customHeight="true" outlineLevel="0" collapsed="false">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customFormat="false" ht="14.25" hidden="false" customHeight="true" outlineLevel="0" collapsed="false">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customFormat="false" ht="14.25" hidden="false" customHeight="true" outlineLevel="0" collapsed="false">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customFormat="false" ht="14.25" hidden="false" customHeight="true" outlineLevel="0" collapsed="false">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customFormat="false" ht="14.25" hidden="false" customHeight="true" outlineLevel="0" collapsed="false">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customFormat="false" ht="14.25" hidden="false" customHeight="true" outlineLevel="0" collapsed="false">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customFormat="false" ht="14.25" hidden="false" customHeight="true" outlineLevel="0" collapsed="false">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customFormat="false" ht="14.25" hidden="false" customHeight="true" outlineLevel="0" collapsed="false">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customFormat="false" ht="14.25" hidden="false" customHeight="true" outlineLevel="0" collapsed="false">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customFormat="false" ht="14.25" hidden="false" customHeight="true" outlineLevel="0" collapsed="false">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customFormat="false" ht="14.25" hidden="false" customHeight="true" outlineLevel="0" collapsed="false">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customFormat="false" ht="14.25" hidden="false" customHeight="true" outlineLevel="0" collapsed="false">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customFormat="false" ht="14.25" hidden="false" customHeight="true" outlineLevel="0" collapsed="false">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customFormat="false" ht="14.25" hidden="false" customHeight="true" outlineLevel="0" collapsed="false">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customFormat="false" ht="14.25" hidden="false" customHeight="true" outlineLevel="0" collapsed="false">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customFormat="false" ht="14.25" hidden="false" customHeight="true" outlineLevel="0" collapsed="false">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customFormat="false" ht="14.25" hidden="false" customHeight="true" outlineLevel="0" collapsed="false">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customFormat="false" ht="14.25" hidden="false" customHeight="true" outlineLevel="0" collapsed="false">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customFormat="false" ht="14.25" hidden="false" customHeight="true" outlineLevel="0" collapsed="false">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customFormat="false" ht="14.25" hidden="false" customHeight="true" outlineLevel="0" collapsed="false">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customFormat="false" ht="14.25" hidden="false" customHeight="true" outlineLevel="0" collapsed="false">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customFormat="false" ht="14.25" hidden="false" customHeight="true" outlineLevel="0" collapsed="false">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customFormat="false" ht="14.25" hidden="false" customHeight="true" outlineLevel="0" collapsed="false">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customFormat="false" ht="14.25" hidden="false" customHeight="true" outlineLevel="0" collapsed="false">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customFormat="false" ht="14.25" hidden="false" customHeight="true" outlineLevel="0" collapsed="false">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customFormat="false" ht="14.25" hidden="false" customHeight="true" outlineLevel="0" collapsed="false">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customFormat="false" ht="14.25" hidden="false" customHeight="true" outlineLevel="0" collapsed="false">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customFormat="false" ht="14.25" hidden="false" customHeight="true" outlineLevel="0" collapsed="false">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customFormat="false" ht="14.25" hidden="false" customHeight="true" outlineLevel="0" collapsed="false">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customFormat="false" ht="14.25" hidden="false" customHeight="true" outlineLevel="0" collapsed="false">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customFormat="false" ht="14.25" hidden="false" customHeight="true" outlineLevel="0" collapsed="false">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customFormat="false" ht="14.25" hidden="false" customHeight="true" outlineLevel="0" collapsed="false">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customFormat="false" ht="14.25" hidden="false" customHeight="true" outlineLevel="0" collapsed="false">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customFormat="false" ht="14.25" hidden="false" customHeight="true" outlineLevel="0" collapsed="false">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customFormat="false" ht="14.25" hidden="false" customHeight="true" outlineLevel="0" collapsed="false">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customFormat="false" ht="14.25" hidden="false" customHeight="true" outlineLevel="0" collapsed="false">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customFormat="false" ht="14.25" hidden="false" customHeight="true" outlineLevel="0" collapsed="false">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customFormat="false" ht="14.25" hidden="false" customHeight="true" outlineLevel="0" collapsed="false">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customFormat="false" ht="14.25" hidden="false" customHeight="true" outlineLevel="0" collapsed="false">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customFormat="false" ht="14.25" hidden="false" customHeight="true" outlineLevel="0" collapsed="false">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customFormat="false" ht="14.25" hidden="false" customHeight="true" outlineLevel="0" collapsed="false">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customFormat="false" ht="14.25" hidden="false" customHeight="true" outlineLevel="0" collapsed="false">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customFormat="false" ht="14.25" hidden="false" customHeight="true" outlineLevel="0" collapsed="false">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customFormat="false" ht="14.25" hidden="false" customHeight="true" outlineLevel="0" collapsed="false">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customFormat="false" ht="14.25" hidden="false" customHeight="true" outlineLevel="0" collapsed="false">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customFormat="false" ht="14.25" hidden="false" customHeight="true" outlineLevel="0" collapsed="false">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customFormat="false" ht="14.25" hidden="false" customHeight="true" outlineLevel="0" collapsed="false">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customFormat="false" ht="14.25" hidden="false" customHeight="true" outlineLevel="0" collapsed="false">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customFormat="false" ht="14.25" hidden="false" customHeight="true" outlineLevel="0" collapsed="false">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customFormat="false" ht="14.25" hidden="false" customHeight="true" outlineLevel="0" collapsed="false">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customFormat="false" ht="14.25" hidden="false" customHeight="true" outlineLevel="0" collapsed="false">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customFormat="false" ht="14.25" hidden="false" customHeight="true" outlineLevel="0" collapsed="false">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customFormat="false" ht="14.25" hidden="false" customHeight="true" outlineLevel="0" collapsed="false">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customFormat="false" ht="14.25" hidden="false" customHeight="true" outlineLevel="0" collapsed="false">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customFormat="false" ht="14.25" hidden="false" customHeight="true" outlineLevel="0" collapsed="false">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customFormat="false" ht="14.25" hidden="false" customHeight="true" outlineLevel="0" collapsed="false">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customFormat="false" ht="14.25" hidden="false" customHeight="true" outlineLevel="0" collapsed="false">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customFormat="false" ht="14.25" hidden="false" customHeight="true" outlineLevel="0" collapsed="false">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customFormat="false" ht="14.25" hidden="false" customHeight="true" outlineLevel="0" collapsed="false">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customFormat="false" ht="14.25" hidden="false" customHeight="true" outlineLevel="0" collapsed="false">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customFormat="false" ht="14.25" hidden="false" customHeight="true" outlineLevel="0" collapsed="false">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customFormat="false" ht="14.25" hidden="false" customHeight="true" outlineLevel="0" collapsed="false">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customFormat="false" ht="14.25" hidden="false" customHeight="true" outlineLevel="0" collapsed="false">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customFormat="false" ht="14.25" hidden="false" customHeight="true" outlineLevel="0" collapsed="false">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customFormat="false" ht="14.25" hidden="false" customHeight="true" outlineLevel="0" collapsed="false">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customFormat="false" ht="14.25" hidden="false" customHeight="true" outlineLevel="0" collapsed="false">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customFormat="false" ht="14.25" hidden="false" customHeight="true" outlineLevel="0" collapsed="false">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customFormat="false" ht="14.25" hidden="false" customHeight="true" outlineLevel="0" collapsed="false">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customFormat="false" ht="14.25" hidden="false" customHeight="true" outlineLevel="0" collapsed="false">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customFormat="false" ht="14.25" hidden="false" customHeight="true" outlineLevel="0" collapsed="false">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customFormat="false" ht="14.25" hidden="false" customHeight="true" outlineLevel="0" collapsed="false">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customFormat="false" ht="14.25" hidden="false" customHeight="true" outlineLevel="0" collapsed="false">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customFormat="false" ht="14.25" hidden="false" customHeight="true" outlineLevel="0" collapsed="false">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customFormat="false" ht="14.25" hidden="false" customHeight="true" outlineLevel="0" collapsed="false">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customFormat="false" ht="14.25" hidden="false" customHeight="true" outlineLevel="0" collapsed="false">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customFormat="false" ht="14.25" hidden="false" customHeight="true" outlineLevel="0" collapsed="false">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customFormat="false" ht="14.25" hidden="false" customHeight="true" outlineLevel="0" collapsed="false">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customFormat="false" ht="14.25" hidden="false" customHeight="true" outlineLevel="0" collapsed="false">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customFormat="false" ht="14.25" hidden="false" customHeight="true" outlineLevel="0" collapsed="false">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customFormat="false" ht="14.25" hidden="false" customHeight="true" outlineLevel="0" collapsed="false">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customFormat="false" ht="14.25" hidden="false" customHeight="true" outlineLevel="0" collapsed="false">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customFormat="false" ht="14.25" hidden="false" customHeight="true" outlineLevel="0" collapsed="false">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customFormat="false" ht="14.25" hidden="false" customHeight="true" outlineLevel="0" collapsed="false">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customFormat="false" ht="14.25" hidden="false" customHeight="true" outlineLevel="0" collapsed="false">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customFormat="false" ht="14.25" hidden="false" customHeight="true" outlineLevel="0" collapsed="false">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customFormat="false" ht="14.25" hidden="false" customHeight="true" outlineLevel="0" collapsed="false">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customFormat="false" ht="14.25" hidden="false" customHeight="true" outlineLevel="0" collapsed="false">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customFormat="false" ht="14.25" hidden="false" customHeight="true" outlineLevel="0" collapsed="false">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customFormat="false" ht="14.25" hidden="false" customHeight="true" outlineLevel="0" collapsed="false">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customFormat="false" ht="14.25" hidden="false" customHeight="true" outlineLevel="0" collapsed="false">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customFormat="false" ht="14.25" hidden="false" customHeight="true" outlineLevel="0" collapsed="false">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customFormat="false" ht="14.25" hidden="false" customHeight="true" outlineLevel="0" collapsed="false">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customFormat="false" ht="14.25" hidden="false" customHeight="true" outlineLevel="0" collapsed="false">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customFormat="false" ht="14.25" hidden="false" customHeight="true" outlineLevel="0" collapsed="false">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customFormat="false" ht="14.25" hidden="false" customHeight="true" outlineLevel="0" collapsed="false">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customFormat="false" ht="14.25" hidden="false" customHeight="true" outlineLevel="0" collapsed="false">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customFormat="false" ht="14.25" hidden="false" customHeight="true" outlineLevel="0" collapsed="false">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customFormat="false" ht="14.25" hidden="false" customHeight="true" outlineLevel="0" collapsed="false">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customFormat="false" ht="14.25" hidden="false" customHeight="true" outlineLevel="0" collapsed="false">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customFormat="false" ht="14.25" hidden="false" customHeight="true" outlineLevel="0" collapsed="false">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customFormat="false" ht="14.25" hidden="false" customHeight="true" outlineLevel="0" collapsed="false">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customFormat="false" ht="14.25" hidden="false" customHeight="true" outlineLevel="0" collapsed="false">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customFormat="false" ht="14.25" hidden="false" customHeight="true" outlineLevel="0" collapsed="false">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customFormat="false" ht="14.25" hidden="false" customHeight="true" outlineLevel="0" collapsed="false">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customFormat="false" ht="14.25" hidden="false" customHeight="true" outlineLevel="0" collapsed="false">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customFormat="false" ht="14.25" hidden="false" customHeight="true" outlineLevel="0" collapsed="false">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customFormat="false" ht="14.25" hidden="false" customHeight="true" outlineLevel="0" collapsed="false">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customFormat="false" ht="14.25" hidden="false" customHeight="true" outlineLevel="0" collapsed="false">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customFormat="false" ht="14.25" hidden="false" customHeight="true" outlineLevel="0" collapsed="false">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customFormat="false" ht="14.25" hidden="false" customHeight="true" outlineLevel="0" collapsed="false">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customFormat="false" ht="14.25" hidden="false" customHeight="true" outlineLevel="0" collapsed="false">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customFormat="false" ht="14.25" hidden="false" customHeight="true" outlineLevel="0" collapsed="false">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customFormat="false" ht="14.25" hidden="false" customHeight="true" outlineLevel="0" collapsed="false">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customFormat="false" ht="14.25" hidden="false" customHeight="true" outlineLevel="0" collapsed="false">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customFormat="false" ht="14.25" hidden="false" customHeight="true" outlineLevel="0" collapsed="false">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customFormat="false" ht="14.25" hidden="false" customHeight="true" outlineLevel="0" collapsed="false">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customFormat="false" ht="14.25" hidden="false" customHeight="true" outlineLevel="0" collapsed="false">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customFormat="false" ht="14.25" hidden="false" customHeight="true" outlineLevel="0" collapsed="false">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customFormat="false" ht="14.25" hidden="false" customHeight="true" outlineLevel="0" collapsed="false">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customFormat="false" ht="14.25" hidden="false" customHeight="true" outlineLevel="0" collapsed="false">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customFormat="false" ht="14.25" hidden="false" customHeight="true" outlineLevel="0" collapsed="false">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customFormat="false" ht="14.25" hidden="false" customHeight="true" outlineLevel="0" collapsed="false">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customFormat="false" ht="14.25" hidden="false" customHeight="true" outlineLevel="0" collapsed="false">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customFormat="false" ht="14.25" hidden="false" customHeight="true" outlineLevel="0" collapsed="false">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customFormat="false" ht="14.25" hidden="false" customHeight="true" outlineLevel="0" collapsed="false">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customFormat="false" ht="14.25" hidden="false" customHeight="true" outlineLevel="0" collapsed="false">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customFormat="false" ht="14.25" hidden="false" customHeight="true" outlineLevel="0" collapsed="false">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customFormat="false" ht="14.25" hidden="false" customHeight="true" outlineLevel="0" collapsed="false">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customFormat="false" ht="14.25" hidden="false" customHeight="true" outlineLevel="0" collapsed="false">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customFormat="false" ht="14.25" hidden="false" customHeight="true" outlineLevel="0" collapsed="false">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customFormat="false" ht="14.25" hidden="false" customHeight="true" outlineLevel="0" collapsed="false">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customFormat="false" ht="14.25" hidden="false" customHeight="true" outlineLevel="0" collapsed="false">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customFormat="false" ht="14.25" hidden="false" customHeight="true" outlineLevel="0" collapsed="false">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customFormat="false" ht="14.25" hidden="false" customHeight="true" outlineLevel="0" collapsed="false">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customFormat="false" ht="14.25" hidden="false" customHeight="true" outlineLevel="0" collapsed="false">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customFormat="false" ht="14.25" hidden="false" customHeight="true" outlineLevel="0" collapsed="false">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customFormat="false" ht="14.25" hidden="false" customHeight="true" outlineLevel="0" collapsed="false">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customFormat="false" ht="14.25" hidden="false" customHeight="true" outlineLevel="0" collapsed="false">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customFormat="false" ht="14.25" hidden="false" customHeight="true" outlineLevel="0" collapsed="false">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customFormat="false" ht="14.25" hidden="false" customHeight="true" outlineLevel="0" collapsed="false">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customFormat="false" ht="14.25" hidden="false" customHeight="true" outlineLevel="0" collapsed="false">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customFormat="false" ht="14.25" hidden="false" customHeight="true" outlineLevel="0" collapsed="false">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customFormat="false" ht="14.25" hidden="false" customHeight="true" outlineLevel="0" collapsed="false">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customFormat="false" ht="14.25" hidden="false" customHeight="true" outlineLevel="0" collapsed="false">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customFormat="false" ht="14.25" hidden="false" customHeight="true" outlineLevel="0" collapsed="false">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customFormat="false" ht="14.25" hidden="false" customHeight="true" outlineLevel="0" collapsed="false">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customFormat="false" ht="14.25" hidden="false" customHeight="true" outlineLevel="0" collapsed="false">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customFormat="false" ht="14.25" hidden="false" customHeight="true" outlineLevel="0" collapsed="false">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customFormat="false" ht="14.25" hidden="false" customHeight="true" outlineLevel="0" collapsed="false">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customFormat="false" ht="14.25" hidden="false" customHeight="true" outlineLevel="0" collapsed="false">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customFormat="false" ht="14.25" hidden="false" customHeight="true" outlineLevel="0" collapsed="false">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customFormat="false" ht="14.25" hidden="false" customHeight="true" outlineLevel="0" collapsed="false">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customFormat="false" ht="14.25" hidden="false" customHeight="true" outlineLevel="0" collapsed="false">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customFormat="false" ht="14.25" hidden="false" customHeight="true" outlineLevel="0" collapsed="false">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customFormat="false" ht="14.25" hidden="false" customHeight="true" outlineLevel="0" collapsed="false">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customFormat="false" ht="14.25" hidden="false" customHeight="true" outlineLevel="0" collapsed="false">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customFormat="false" ht="14.25" hidden="false" customHeight="true" outlineLevel="0" collapsed="false">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customFormat="false" ht="14.25" hidden="false" customHeight="true" outlineLevel="0" collapsed="false">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customFormat="false" ht="14.25" hidden="false" customHeight="true" outlineLevel="0" collapsed="false">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customFormat="false" ht="14.25" hidden="false" customHeight="true" outlineLevel="0" collapsed="false">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customFormat="false" ht="14.25" hidden="false" customHeight="true" outlineLevel="0" collapsed="false">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customFormat="false" ht="14.25" hidden="false" customHeight="true" outlineLevel="0" collapsed="false">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customFormat="false" ht="14.25" hidden="false" customHeight="true" outlineLevel="0" collapsed="false">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customFormat="false" ht="14.25" hidden="false" customHeight="true" outlineLevel="0" collapsed="false">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customFormat="false" ht="14.25" hidden="false" customHeight="true" outlineLevel="0" collapsed="false">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customFormat="false" ht="14.25" hidden="false" customHeight="true" outlineLevel="0" collapsed="false">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customFormat="false" ht="14.25" hidden="false" customHeight="true" outlineLevel="0" collapsed="false">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customFormat="false" ht="14.25" hidden="false" customHeight="true" outlineLevel="0" collapsed="false">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customFormat="false" ht="14.25" hidden="false" customHeight="true" outlineLevel="0" collapsed="false">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customFormat="false" ht="14.25" hidden="false" customHeight="true" outlineLevel="0" collapsed="false">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customFormat="false" ht="14.25" hidden="false" customHeight="true" outlineLevel="0" collapsed="false">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customFormat="false" ht="14.25" hidden="false" customHeight="true" outlineLevel="0" collapsed="false">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customFormat="false" ht="14.25" hidden="false" customHeight="true" outlineLevel="0" collapsed="false">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customFormat="false" ht="14.25" hidden="false" customHeight="true" outlineLevel="0" collapsed="false">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customFormat="false" ht="14.25" hidden="false" customHeight="true" outlineLevel="0" collapsed="false">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customFormat="false" ht="14.25" hidden="false" customHeight="true" outlineLevel="0" collapsed="false">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customFormat="false" ht="14.25" hidden="false" customHeight="true" outlineLevel="0" collapsed="false">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customFormat="false" ht="14.25" hidden="false" customHeight="true" outlineLevel="0" collapsed="false">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customFormat="false" ht="14.25" hidden="false" customHeight="true" outlineLevel="0" collapsed="false">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customFormat="false" ht="14.25" hidden="false" customHeight="true" outlineLevel="0" collapsed="false">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customFormat="false" ht="14.25" hidden="false" customHeight="true" outlineLevel="0" collapsed="false">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customFormat="false" ht="14.25" hidden="false" customHeight="true" outlineLevel="0" collapsed="false">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customFormat="false" ht="14.25" hidden="false" customHeight="true" outlineLevel="0" collapsed="false">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row r="907" customFormat="false" ht="14.25" hidden="false" customHeight="true" outlineLevel="0" collapsed="false">
      <c r="A907" s="16"/>
      <c r="B907" s="16"/>
      <c r="C907" s="16"/>
      <c r="D907" s="16"/>
      <c r="E907" s="16"/>
      <c r="F907" s="16"/>
      <c r="G907" s="16"/>
      <c r="H907" s="16"/>
      <c r="I907" s="16"/>
      <c r="J907" s="16"/>
      <c r="K907" s="16"/>
      <c r="L907" s="16"/>
      <c r="M907" s="16"/>
      <c r="N907" s="16"/>
      <c r="O907" s="16"/>
      <c r="P907" s="16"/>
      <c r="Q907" s="16"/>
      <c r="R907" s="16"/>
      <c r="S907" s="16"/>
      <c r="T907" s="16"/>
      <c r="U907" s="16"/>
      <c r="V907" s="16"/>
      <c r="W907" s="16"/>
    </row>
    <row r="908" customFormat="false" ht="14.25" hidden="false" customHeight="true" outlineLevel="0" collapsed="false">
      <c r="A908" s="16"/>
      <c r="B908" s="16"/>
      <c r="C908" s="16"/>
      <c r="D908" s="16"/>
      <c r="E908" s="16"/>
      <c r="F908" s="16"/>
      <c r="G908" s="16"/>
      <c r="H908" s="16"/>
      <c r="I908" s="16"/>
      <c r="J908" s="16"/>
      <c r="K908" s="16"/>
      <c r="L908" s="16"/>
      <c r="M908" s="16"/>
      <c r="N908" s="16"/>
      <c r="O908" s="16"/>
      <c r="P908" s="16"/>
      <c r="Q908" s="16"/>
      <c r="R908" s="16"/>
      <c r="S908" s="16"/>
      <c r="T908" s="16"/>
      <c r="U908" s="16"/>
      <c r="V908" s="16"/>
      <c r="W908" s="16"/>
    </row>
    <row r="909" customFormat="false" ht="14.25" hidden="false" customHeight="true" outlineLevel="0" collapsed="false">
      <c r="A909" s="16"/>
      <c r="B909" s="16"/>
      <c r="C909" s="16"/>
      <c r="D909" s="16"/>
      <c r="E909" s="16"/>
      <c r="F909" s="16"/>
      <c r="G909" s="16"/>
      <c r="H909" s="16"/>
      <c r="I909" s="16"/>
      <c r="J909" s="16"/>
      <c r="K909" s="16"/>
      <c r="L909" s="16"/>
      <c r="M909" s="16"/>
      <c r="N909" s="16"/>
      <c r="O909" s="16"/>
      <c r="P909" s="16"/>
      <c r="Q909" s="16"/>
      <c r="R909" s="16"/>
      <c r="S909" s="16"/>
      <c r="T909" s="16"/>
      <c r="U909" s="16"/>
      <c r="V909" s="16"/>
      <c r="W909" s="16"/>
    </row>
    <row r="910" customFormat="false" ht="14.25" hidden="false" customHeight="true" outlineLevel="0" collapsed="false">
      <c r="A910" s="16"/>
      <c r="B910" s="16"/>
      <c r="C910" s="16"/>
      <c r="D910" s="16"/>
      <c r="E910" s="16"/>
      <c r="F910" s="16"/>
      <c r="G910" s="16"/>
      <c r="H910" s="16"/>
      <c r="I910" s="16"/>
      <c r="J910" s="16"/>
      <c r="K910" s="16"/>
      <c r="L910" s="16"/>
      <c r="M910" s="16"/>
      <c r="N910" s="16"/>
      <c r="O910" s="16"/>
      <c r="P910" s="16"/>
      <c r="Q910" s="16"/>
      <c r="R910" s="16"/>
      <c r="S910" s="16"/>
      <c r="T910" s="16"/>
      <c r="U910" s="16"/>
      <c r="V910" s="16"/>
      <c r="W910" s="16"/>
    </row>
    <row r="911" customFormat="false" ht="14.25" hidden="false" customHeight="true" outlineLevel="0" collapsed="false">
      <c r="A911" s="16"/>
      <c r="B911" s="16"/>
      <c r="C911" s="16"/>
      <c r="D911" s="16"/>
      <c r="E911" s="16"/>
      <c r="F911" s="16"/>
      <c r="G911" s="16"/>
      <c r="H911" s="16"/>
      <c r="I911" s="16"/>
      <c r="J911" s="16"/>
      <c r="K911" s="16"/>
      <c r="L911" s="16"/>
      <c r="M911" s="16"/>
      <c r="N911" s="16"/>
      <c r="O911" s="16"/>
      <c r="P911" s="16"/>
      <c r="Q911" s="16"/>
      <c r="R911" s="16"/>
      <c r="S911" s="16"/>
      <c r="T911" s="16"/>
      <c r="U911" s="16"/>
      <c r="V911" s="16"/>
      <c r="W911" s="16"/>
    </row>
    <row r="912" customFormat="false" ht="14.25" hidden="false" customHeight="true" outlineLevel="0" collapsed="false">
      <c r="A912" s="16"/>
      <c r="B912" s="16"/>
      <c r="C912" s="16"/>
      <c r="D912" s="16"/>
      <c r="E912" s="16"/>
      <c r="F912" s="16"/>
      <c r="G912" s="16"/>
      <c r="H912" s="16"/>
      <c r="I912" s="16"/>
      <c r="J912" s="16"/>
      <c r="K912" s="16"/>
      <c r="L912" s="16"/>
      <c r="M912" s="16"/>
      <c r="N912" s="16"/>
      <c r="O912" s="16"/>
      <c r="P912" s="16"/>
      <c r="Q912" s="16"/>
      <c r="R912" s="16"/>
      <c r="S912" s="16"/>
      <c r="T912" s="16"/>
      <c r="U912" s="16"/>
      <c r="V912" s="16"/>
      <c r="W912" s="16"/>
    </row>
    <row r="913" customFormat="false" ht="14.25" hidden="false" customHeight="true" outlineLevel="0" collapsed="false">
      <c r="A913" s="16"/>
      <c r="B913" s="16"/>
      <c r="C913" s="16"/>
      <c r="D913" s="16"/>
      <c r="E913" s="16"/>
      <c r="F913" s="16"/>
      <c r="G913" s="16"/>
      <c r="H913" s="16"/>
      <c r="I913" s="16"/>
      <c r="J913" s="16"/>
      <c r="K913" s="16"/>
      <c r="L913" s="16"/>
      <c r="M913" s="16"/>
      <c r="N913" s="16"/>
      <c r="O913" s="16"/>
      <c r="P913" s="16"/>
      <c r="Q913" s="16"/>
      <c r="R913" s="16"/>
      <c r="S913" s="16"/>
      <c r="T913" s="16"/>
      <c r="U913" s="16"/>
      <c r="V913" s="16"/>
      <c r="W913" s="16"/>
    </row>
    <row r="914" customFormat="false" ht="14.25" hidden="false" customHeight="true" outlineLevel="0" collapsed="false">
      <c r="A914" s="16"/>
      <c r="B914" s="16"/>
      <c r="C914" s="16"/>
      <c r="D914" s="16"/>
      <c r="E914" s="16"/>
      <c r="F914" s="16"/>
      <c r="G914" s="16"/>
      <c r="H914" s="16"/>
      <c r="I914" s="16"/>
      <c r="J914" s="16"/>
      <c r="K914" s="16"/>
      <c r="L914" s="16"/>
      <c r="M914" s="16"/>
      <c r="N914" s="16"/>
      <c r="O914" s="16"/>
      <c r="P914" s="16"/>
      <c r="Q914" s="16"/>
      <c r="R914" s="16"/>
      <c r="S914" s="16"/>
      <c r="T914" s="16"/>
      <c r="U914" s="16"/>
      <c r="V914" s="16"/>
      <c r="W914" s="16"/>
    </row>
    <row r="915" customFormat="false" ht="14.25" hidden="false" customHeight="true" outlineLevel="0" collapsed="false">
      <c r="A915" s="16"/>
      <c r="B915" s="16"/>
      <c r="C915" s="16"/>
      <c r="D915" s="16"/>
      <c r="E915" s="16"/>
      <c r="F915" s="16"/>
      <c r="G915" s="16"/>
      <c r="H915" s="16"/>
      <c r="I915" s="16"/>
      <c r="J915" s="16"/>
      <c r="K915" s="16"/>
      <c r="L915" s="16"/>
      <c r="M915" s="16"/>
      <c r="N915" s="16"/>
      <c r="O915" s="16"/>
      <c r="P915" s="16"/>
      <c r="Q915" s="16"/>
      <c r="R915" s="16"/>
      <c r="S915" s="16"/>
      <c r="T915" s="16"/>
      <c r="U915" s="16"/>
      <c r="V915" s="16"/>
      <c r="W915" s="16"/>
    </row>
    <row r="916" customFormat="false" ht="14.25" hidden="false" customHeight="true" outlineLevel="0" collapsed="false">
      <c r="A916" s="16"/>
      <c r="B916" s="16"/>
      <c r="C916" s="16"/>
      <c r="D916" s="16"/>
      <c r="E916" s="16"/>
      <c r="F916" s="16"/>
      <c r="G916" s="16"/>
      <c r="H916" s="16"/>
      <c r="I916" s="16"/>
      <c r="J916" s="16"/>
      <c r="K916" s="16"/>
      <c r="L916" s="16"/>
      <c r="M916" s="16"/>
      <c r="N916" s="16"/>
      <c r="O916" s="16"/>
      <c r="P916" s="16"/>
      <c r="Q916" s="16"/>
      <c r="R916" s="16"/>
      <c r="S916" s="16"/>
      <c r="T916" s="16"/>
      <c r="U916" s="16"/>
      <c r="V916" s="16"/>
      <c r="W916" s="16"/>
    </row>
    <row r="917" customFormat="false" ht="14.25" hidden="false" customHeight="true" outlineLevel="0" collapsed="false">
      <c r="A917" s="16"/>
      <c r="B917" s="16"/>
      <c r="C917" s="16"/>
      <c r="D917" s="16"/>
      <c r="E917" s="16"/>
      <c r="F917" s="16"/>
      <c r="G917" s="16"/>
      <c r="H917" s="16"/>
      <c r="I917" s="16"/>
      <c r="J917" s="16"/>
      <c r="K917" s="16"/>
      <c r="L917" s="16"/>
      <c r="M917" s="16"/>
      <c r="N917" s="16"/>
      <c r="O917" s="16"/>
      <c r="P917" s="16"/>
      <c r="Q917" s="16"/>
      <c r="R917" s="16"/>
      <c r="S917" s="16"/>
      <c r="T917" s="16"/>
      <c r="U917" s="16"/>
      <c r="V917" s="16"/>
      <c r="W917" s="16"/>
    </row>
    <row r="918" customFormat="false" ht="14.25" hidden="false" customHeight="true" outlineLevel="0" collapsed="false">
      <c r="A918" s="16"/>
      <c r="B918" s="16"/>
      <c r="C918" s="16"/>
      <c r="D918" s="16"/>
      <c r="E918" s="16"/>
      <c r="F918" s="16"/>
      <c r="G918" s="16"/>
      <c r="H918" s="16"/>
      <c r="I918" s="16"/>
      <c r="J918" s="16"/>
      <c r="K918" s="16"/>
      <c r="L918" s="16"/>
      <c r="M918" s="16"/>
      <c r="N918" s="16"/>
      <c r="O918" s="16"/>
      <c r="P918" s="16"/>
      <c r="Q918" s="16"/>
      <c r="R918" s="16"/>
      <c r="S918" s="16"/>
      <c r="T918" s="16"/>
      <c r="U918" s="16"/>
      <c r="V918" s="16"/>
      <c r="W918" s="16"/>
    </row>
    <row r="919" customFormat="false" ht="14.25" hidden="false" customHeight="true" outlineLevel="0" collapsed="false">
      <c r="A919" s="16"/>
      <c r="B919" s="16"/>
      <c r="C919" s="16"/>
      <c r="D919" s="16"/>
      <c r="E919" s="16"/>
      <c r="F919" s="16"/>
      <c r="G919" s="16"/>
      <c r="H919" s="16"/>
      <c r="I919" s="16"/>
      <c r="J919" s="16"/>
      <c r="K919" s="16"/>
      <c r="L919" s="16"/>
      <c r="M919" s="16"/>
      <c r="N919" s="16"/>
      <c r="O919" s="16"/>
      <c r="P919" s="16"/>
      <c r="Q919" s="16"/>
      <c r="R919" s="16"/>
      <c r="S919" s="16"/>
      <c r="T919" s="16"/>
      <c r="U919" s="16"/>
      <c r="V919" s="16"/>
      <c r="W919" s="16"/>
    </row>
    <row r="920" customFormat="false" ht="14.25" hidden="false" customHeight="true" outlineLevel="0" collapsed="false">
      <c r="A920" s="16"/>
      <c r="B920" s="16"/>
      <c r="C920" s="16"/>
      <c r="D920" s="16"/>
      <c r="E920" s="16"/>
      <c r="F920" s="16"/>
      <c r="G920" s="16"/>
      <c r="H920" s="16"/>
      <c r="I920" s="16"/>
      <c r="J920" s="16"/>
      <c r="K920" s="16"/>
      <c r="L920" s="16"/>
      <c r="M920" s="16"/>
      <c r="N920" s="16"/>
      <c r="O920" s="16"/>
      <c r="P920" s="16"/>
      <c r="Q920" s="16"/>
      <c r="R920" s="16"/>
      <c r="S920" s="16"/>
      <c r="T920" s="16"/>
      <c r="U920" s="16"/>
      <c r="V920" s="16"/>
      <c r="W920" s="16"/>
    </row>
    <row r="921" customFormat="false" ht="14.25" hidden="false" customHeight="true" outlineLevel="0" collapsed="false">
      <c r="A921" s="16"/>
      <c r="B921" s="16"/>
      <c r="C921" s="16"/>
      <c r="D921" s="16"/>
      <c r="E921" s="16"/>
      <c r="F921" s="16"/>
      <c r="G921" s="16"/>
      <c r="H921" s="16"/>
      <c r="I921" s="16"/>
      <c r="J921" s="16"/>
      <c r="K921" s="16"/>
      <c r="L921" s="16"/>
      <c r="M921" s="16"/>
      <c r="N921" s="16"/>
      <c r="O921" s="16"/>
      <c r="P921" s="16"/>
      <c r="Q921" s="16"/>
      <c r="R921" s="16"/>
      <c r="S921" s="16"/>
      <c r="T921" s="16"/>
      <c r="U921" s="16"/>
      <c r="V921" s="16"/>
      <c r="W921" s="16"/>
    </row>
    <row r="922" customFormat="false" ht="14.25" hidden="false" customHeight="true" outlineLevel="0" collapsed="false">
      <c r="A922" s="16"/>
      <c r="B922" s="16"/>
      <c r="C922" s="16"/>
      <c r="D922" s="16"/>
      <c r="E922" s="16"/>
      <c r="F922" s="16"/>
      <c r="G922" s="16"/>
      <c r="H922" s="16"/>
      <c r="I922" s="16"/>
      <c r="J922" s="16"/>
      <c r="K922" s="16"/>
      <c r="L922" s="16"/>
      <c r="M922" s="16"/>
      <c r="N922" s="16"/>
      <c r="O922" s="16"/>
      <c r="P922" s="16"/>
      <c r="Q922" s="16"/>
      <c r="R922" s="16"/>
      <c r="S922" s="16"/>
      <c r="T922" s="16"/>
      <c r="U922" s="16"/>
      <c r="V922" s="16"/>
      <c r="W922" s="16"/>
    </row>
    <row r="923" customFormat="false" ht="14.25" hidden="false" customHeight="true" outlineLevel="0" collapsed="false">
      <c r="A923" s="16"/>
      <c r="B923" s="16"/>
      <c r="C923" s="16"/>
      <c r="D923" s="16"/>
      <c r="E923" s="16"/>
      <c r="F923" s="16"/>
      <c r="G923" s="16"/>
      <c r="H923" s="16"/>
      <c r="I923" s="16"/>
      <c r="J923" s="16"/>
      <c r="K923" s="16"/>
      <c r="L923" s="16"/>
      <c r="M923" s="16"/>
      <c r="N923" s="16"/>
      <c r="O923" s="16"/>
      <c r="P923" s="16"/>
      <c r="Q923" s="16"/>
      <c r="R923" s="16"/>
      <c r="S923" s="16"/>
      <c r="T923" s="16"/>
      <c r="U923" s="16"/>
      <c r="V923" s="16"/>
      <c r="W923" s="16"/>
    </row>
    <row r="924" customFormat="false" ht="14.25" hidden="false" customHeight="true" outlineLevel="0" collapsed="false">
      <c r="A924" s="16"/>
      <c r="B924" s="16"/>
      <c r="C924" s="16"/>
      <c r="D924" s="16"/>
      <c r="E924" s="16"/>
      <c r="F924" s="16"/>
      <c r="G924" s="16"/>
      <c r="H924" s="16"/>
      <c r="I924" s="16"/>
      <c r="J924" s="16"/>
      <c r="K924" s="16"/>
      <c r="L924" s="16"/>
      <c r="M924" s="16"/>
      <c r="N924" s="16"/>
      <c r="O924" s="16"/>
      <c r="P924" s="16"/>
      <c r="Q924" s="16"/>
      <c r="R924" s="16"/>
      <c r="S924" s="16"/>
      <c r="T924" s="16"/>
      <c r="U924" s="16"/>
      <c r="V924" s="16"/>
      <c r="W924" s="16"/>
    </row>
    <row r="925" customFormat="false" ht="14.25" hidden="false" customHeight="true" outlineLevel="0" collapsed="false">
      <c r="A925" s="16"/>
      <c r="B925" s="16"/>
      <c r="C925" s="16"/>
      <c r="D925" s="16"/>
      <c r="E925" s="16"/>
      <c r="F925" s="16"/>
      <c r="G925" s="16"/>
      <c r="H925" s="16"/>
      <c r="I925" s="16"/>
      <c r="J925" s="16"/>
      <c r="K925" s="16"/>
      <c r="L925" s="16"/>
      <c r="M925" s="16"/>
      <c r="N925" s="16"/>
      <c r="O925" s="16"/>
      <c r="P925" s="16"/>
      <c r="Q925" s="16"/>
      <c r="R925" s="16"/>
      <c r="S925" s="16"/>
      <c r="T925" s="16"/>
      <c r="U925" s="16"/>
      <c r="V925" s="16"/>
      <c r="W925" s="16"/>
    </row>
    <row r="926" customFormat="false" ht="14.25" hidden="false" customHeight="true" outlineLevel="0" collapsed="false">
      <c r="A926" s="16"/>
      <c r="B926" s="16"/>
      <c r="C926" s="16"/>
      <c r="D926" s="16"/>
      <c r="E926" s="16"/>
      <c r="F926" s="16"/>
      <c r="G926" s="16"/>
      <c r="H926" s="16"/>
      <c r="I926" s="16"/>
      <c r="J926" s="16"/>
      <c r="K926" s="16"/>
      <c r="L926" s="16"/>
      <c r="M926" s="16"/>
      <c r="N926" s="16"/>
      <c r="O926" s="16"/>
      <c r="P926" s="16"/>
      <c r="Q926" s="16"/>
      <c r="R926" s="16"/>
      <c r="S926" s="16"/>
      <c r="T926" s="16"/>
      <c r="U926" s="16"/>
      <c r="V926" s="16"/>
      <c r="W926" s="16"/>
    </row>
    <row r="927" customFormat="false" ht="14.25" hidden="false" customHeight="true" outlineLevel="0" collapsed="false">
      <c r="A927" s="16"/>
      <c r="B927" s="16"/>
      <c r="C927" s="16"/>
      <c r="D927" s="16"/>
      <c r="E927" s="16"/>
      <c r="F927" s="16"/>
      <c r="G927" s="16"/>
      <c r="H927" s="16"/>
      <c r="I927" s="16"/>
      <c r="J927" s="16"/>
      <c r="K927" s="16"/>
      <c r="L927" s="16"/>
      <c r="M927" s="16"/>
      <c r="N927" s="16"/>
      <c r="O927" s="16"/>
      <c r="P927" s="16"/>
      <c r="Q927" s="16"/>
      <c r="R927" s="16"/>
      <c r="S927" s="16"/>
      <c r="T927" s="16"/>
      <c r="U927" s="16"/>
      <c r="V927" s="16"/>
      <c r="W927" s="16"/>
    </row>
    <row r="928" customFormat="false" ht="14.25" hidden="false" customHeight="true" outlineLevel="0" collapsed="false">
      <c r="A928" s="16"/>
      <c r="B928" s="16"/>
      <c r="C928" s="16"/>
      <c r="D928" s="16"/>
      <c r="E928" s="16"/>
      <c r="F928" s="16"/>
      <c r="G928" s="16"/>
      <c r="H928" s="16"/>
      <c r="I928" s="16"/>
      <c r="J928" s="16"/>
      <c r="K928" s="16"/>
      <c r="L928" s="16"/>
      <c r="M928" s="16"/>
      <c r="N928" s="16"/>
      <c r="O928" s="16"/>
      <c r="P928" s="16"/>
      <c r="Q928" s="16"/>
      <c r="R928" s="16"/>
      <c r="S928" s="16"/>
      <c r="T928" s="16"/>
      <c r="U928" s="16"/>
      <c r="V928" s="16"/>
      <c r="W928" s="16"/>
    </row>
    <row r="929" customFormat="false" ht="14.25" hidden="false" customHeight="true" outlineLevel="0" collapsed="false">
      <c r="A929" s="16"/>
      <c r="B929" s="16"/>
      <c r="C929" s="16"/>
      <c r="D929" s="16"/>
      <c r="E929" s="16"/>
      <c r="F929" s="16"/>
      <c r="G929" s="16"/>
      <c r="H929" s="16"/>
      <c r="I929" s="16"/>
      <c r="J929" s="16"/>
      <c r="K929" s="16"/>
      <c r="L929" s="16"/>
      <c r="M929" s="16"/>
      <c r="N929" s="16"/>
      <c r="O929" s="16"/>
      <c r="P929" s="16"/>
      <c r="Q929" s="16"/>
      <c r="R929" s="16"/>
      <c r="S929" s="16"/>
      <c r="T929" s="16"/>
      <c r="U929" s="16"/>
      <c r="V929" s="16"/>
      <c r="W929" s="16"/>
    </row>
    <row r="930" customFormat="false" ht="14.25" hidden="false" customHeight="true" outlineLevel="0" collapsed="false">
      <c r="A930" s="16"/>
      <c r="B930" s="16"/>
      <c r="C930" s="16"/>
      <c r="D930" s="16"/>
      <c r="E930" s="16"/>
      <c r="F930" s="16"/>
      <c r="G930" s="16"/>
      <c r="H930" s="16"/>
      <c r="I930" s="16"/>
      <c r="J930" s="16"/>
      <c r="K930" s="16"/>
      <c r="L930" s="16"/>
      <c r="M930" s="16"/>
      <c r="N930" s="16"/>
      <c r="O930" s="16"/>
      <c r="P930" s="16"/>
      <c r="Q930" s="16"/>
      <c r="R930" s="16"/>
      <c r="S930" s="16"/>
      <c r="T930" s="16"/>
      <c r="U930" s="16"/>
      <c r="V930" s="16"/>
      <c r="W930" s="16"/>
    </row>
    <row r="931" customFormat="false" ht="14.25" hidden="false" customHeight="true" outlineLevel="0" collapsed="false">
      <c r="A931" s="16"/>
      <c r="B931" s="16"/>
      <c r="C931" s="16"/>
      <c r="D931" s="16"/>
      <c r="E931" s="16"/>
      <c r="F931" s="16"/>
      <c r="G931" s="16"/>
      <c r="H931" s="16"/>
      <c r="I931" s="16"/>
      <c r="J931" s="16"/>
      <c r="K931" s="16"/>
      <c r="L931" s="16"/>
      <c r="M931" s="16"/>
      <c r="N931" s="16"/>
      <c r="O931" s="16"/>
      <c r="P931" s="16"/>
      <c r="Q931" s="16"/>
      <c r="R931" s="16"/>
      <c r="S931" s="16"/>
      <c r="T931" s="16"/>
      <c r="U931" s="16"/>
      <c r="V931" s="16"/>
      <c r="W931" s="16"/>
    </row>
    <row r="932" customFormat="false" ht="14.25" hidden="false" customHeight="true" outlineLevel="0" collapsed="false">
      <c r="A932" s="16"/>
      <c r="B932" s="16"/>
      <c r="C932" s="16"/>
      <c r="D932" s="16"/>
      <c r="E932" s="16"/>
      <c r="F932" s="16"/>
      <c r="G932" s="16"/>
      <c r="H932" s="16"/>
      <c r="I932" s="16"/>
      <c r="J932" s="16"/>
      <c r="K932" s="16"/>
      <c r="L932" s="16"/>
      <c r="M932" s="16"/>
      <c r="N932" s="16"/>
      <c r="O932" s="16"/>
      <c r="P932" s="16"/>
      <c r="Q932" s="16"/>
      <c r="R932" s="16"/>
      <c r="S932" s="16"/>
      <c r="T932" s="16"/>
      <c r="U932" s="16"/>
      <c r="V932" s="16"/>
      <c r="W932" s="16"/>
    </row>
    <row r="933" customFormat="false" ht="14.25" hidden="false" customHeight="true" outlineLevel="0" collapsed="false">
      <c r="A933" s="16"/>
      <c r="B933" s="16"/>
      <c r="C933" s="16"/>
      <c r="D933" s="16"/>
      <c r="E933" s="16"/>
      <c r="F933" s="16"/>
      <c r="G933" s="16"/>
      <c r="H933" s="16"/>
      <c r="I933" s="16"/>
      <c r="J933" s="16"/>
      <c r="K933" s="16"/>
      <c r="L933" s="16"/>
      <c r="M933" s="16"/>
      <c r="N933" s="16"/>
      <c r="O933" s="16"/>
      <c r="P933" s="16"/>
      <c r="Q933" s="16"/>
      <c r="R933" s="16"/>
      <c r="S933" s="16"/>
      <c r="T933" s="16"/>
      <c r="U933" s="16"/>
      <c r="V933" s="16"/>
      <c r="W933" s="16"/>
    </row>
    <row r="934" customFormat="false" ht="14.25" hidden="false" customHeight="true" outlineLevel="0" collapsed="false">
      <c r="A934" s="16"/>
      <c r="B934" s="16"/>
      <c r="C934" s="16"/>
      <c r="D934" s="16"/>
      <c r="E934" s="16"/>
      <c r="F934" s="16"/>
      <c r="G934" s="16"/>
      <c r="H934" s="16"/>
      <c r="I934" s="16"/>
      <c r="J934" s="16"/>
      <c r="K934" s="16"/>
      <c r="L934" s="16"/>
      <c r="M934" s="16"/>
      <c r="N934" s="16"/>
      <c r="O934" s="16"/>
      <c r="P934" s="16"/>
      <c r="Q934" s="16"/>
      <c r="R934" s="16"/>
      <c r="S934" s="16"/>
      <c r="T934" s="16"/>
      <c r="U934" s="16"/>
      <c r="V934" s="16"/>
      <c r="W934" s="16"/>
    </row>
    <row r="935" customFormat="false" ht="14.25" hidden="false" customHeight="true" outlineLevel="0" collapsed="false">
      <c r="A935" s="16"/>
      <c r="B935" s="16"/>
      <c r="C935" s="16"/>
      <c r="D935" s="16"/>
      <c r="E935" s="16"/>
      <c r="F935" s="16"/>
      <c r="G935" s="16"/>
      <c r="H935" s="16"/>
      <c r="I935" s="16"/>
      <c r="J935" s="16"/>
      <c r="K935" s="16"/>
      <c r="L935" s="16"/>
      <c r="M935" s="16"/>
      <c r="N935" s="16"/>
      <c r="O935" s="16"/>
      <c r="P935" s="16"/>
      <c r="Q935" s="16"/>
      <c r="R935" s="16"/>
      <c r="S935" s="16"/>
      <c r="T935" s="16"/>
      <c r="U935" s="16"/>
      <c r="V935" s="16"/>
      <c r="W935" s="16"/>
    </row>
    <row r="936" customFormat="false" ht="14.25" hidden="false" customHeight="true" outlineLevel="0" collapsed="false">
      <c r="A936" s="16"/>
      <c r="B936" s="16"/>
      <c r="C936" s="16"/>
      <c r="D936" s="16"/>
      <c r="E936" s="16"/>
      <c r="F936" s="16"/>
      <c r="G936" s="16"/>
      <c r="H936" s="16"/>
      <c r="I936" s="16"/>
      <c r="J936" s="16"/>
      <c r="K936" s="16"/>
      <c r="L936" s="16"/>
      <c r="M936" s="16"/>
      <c r="N936" s="16"/>
      <c r="O936" s="16"/>
      <c r="P936" s="16"/>
      <c r="Q936" s="16"/>
      <c r="R936" s="16"/>
      <c r="S936" s="16"/>
      <c r="T936" s="16"/>
      <c r="U936" s="16"/>
      <c r="V936" s="16"/>
      <c r="W936" s="16"/>
    </row>
    <row r="937" customFormat="false" ht="14.25" hidden="false" customHeight="true" outlineLevel="0" collapsed="false">
      <c r="A937" s="16"/>
      <c r="B937" s="16"/>
      <c r="C937" s="16"/>
      <c r="D937" s="16"/>
      <c r="E937" s="16"/>
      <c r="F937" s="16"/>
      <c r="G937" s="16"/>
      <c r="H937" s="16"/>
      <c r="I937" s="16"/>
      <c r="J937" s="16"/>
      <c r="K937" s="16"/>
      <c r="L937" s="16"/>
      <c r="M937" s="16"/>
      <c r="N937" s="16"/>
      <c r="O937" s="16"/>
      <c r="P937" s="16"/>
      <c r="Q937" s="16"/>
      <c r="R937" s="16"/>
      <c r="S937" s="16"/>
      <c r="T937" s="16"/>
      <c r="U937" s="16"/>
      <c r="V937" s="16"/>
      <c r="W937" s="16"/>
    </row>
    <row r="938" customFormat="false" ht="14.25" hidden="false" customHeight="true" outlineLevel="0" collapsed="false">
      <c r="A938" s="16"/>
      <c r="B938" s="16"/>
      <c r="C938" s="16"/>
      <c r="D938" s="16"/>
      <c r="E938" s="16"/>
      <c r="F938" s="16"/>
      <c r="G938" s="16"/>
      <c r="H938" s="16"/>
      <c r="I938" s="16"/>
      <c r="J938" s="16"/>
      <c r="K938" s="16"/>
      <c r="L938" s="16"/>
      <c r="M938" s="16"/>
      <c r="N938" s="16"/>
      <c r="O938" s="16"/>
      <c r="P938" s="16"/>
      <c r="Q938" s="16"/>
      <c r="R938" s="16"/>
      <c r="S938" s="16"/>
      <c r="T938" s="16"/>
      <c r="U938" s="16"/>
      <c r="V938" s="16"/>
      <c r="W938" s="16"/>
    </row>
    <row r="939" customFormat="false" ht="14.25" hidden="false" customHeight="true" outlineLevel="0" collapsed="false">
      <c r="A939" s="16"/>
      <c r="B939" s="16"/>
      <c r="C939" s="16"/>
      <c r="D939" s="16"/>
      <c r="E939" s="16"/>
      <c r="F939" s="16"/>
      <c r="G939" s="16"/>
      <c r="H939" s="16"/>
      <c r="I939" s="16"/>
      <c r="J939" s="16"/>
      <c r="K939" s="16"/>
      <c r="L939" s="16"/>
      <c r="M939" s="16"/>
      <c r="N939" s="16"/>
      <c r="O939" s="16"/>
      <c r="P939" s="16"/>
      <c r="Q939" s="16"/>
      <c r="R939" s="16"/>
      <c r="S939" s="16"/>
      <c r="T939" s="16"/>
      <c r="U939" s="16"/>
      <c r="V939" s="16"/>
      <c r="W939" s="16"/>
    </row>
    <row r="940" customFormat="false" ht="14.25" hidden="false" customHeight="true" outlineLevel="0" collapsed="false">
      <c r="A940" s="16"/>
      <c r="B940" s="16"/>
      <c r="C940" s="16"/>
      <c r="D940" s="16"/>
      <c r="E940" s="16"/>
      <c r="F940" s="16"/>
      <c r="G940" s="16"/>
      <c r="H940" s="16"/>
      <c r="I940" s="16"/>
      <c r="J940" s="16"/>
      <c r="K940" s="16"/>
      <c r="L940" s="16"/>
      <c r="M940" s="16"/>
      <c r="N940" s="16"/>
      <c r="O940" s="16"/>
      <c r="P940" s="16"/>
      <c r="Q940" s="16"/>
      <c r="R940" s="16"/>
      <c r="S940" s="16"/>
      <c r="T940" s="16"/>
      <c r="U940" s="16"/>
      <c r="V940" s="16"/>
      <c r="W940" s="16"/>
    </row>
    <row r="941" customFormat="false" ht="14.25" hidden="false" customHeight="true" outlineLevel="0" collapsed="false">
      <c r="A941" s="16"/>
      <c r="B941" s="16"/>
      <c r="C941" s="16"/>
      <c r="D941" s="16"/>
      <c r="E941" s="16"/>
      <c r="F941" s="16"/>
      <c r="G941" s="16"/>
      <c r="H941" s="16"/>
      <c r="I941" s="16"/>
      <c r="J941" s="16"/>
      <c r="K941" s="16"/>
      <c r="L941" s="16"/>
      <c r="M941" s="16"/>
      <c r="N941" s="16"/>
      <c r="O941" s="16"/>
      <c r="P941" s="16"/>
      <c r="Q941" s="16"/>
      <c r="R941" s="16"/>
      <c r="S941" s="16"/>
      <c r="T941" s="16"/>
      <c r="U941" s="16"/>
      <c r="V941" s="16"/>
      <c r="W941" s="16"/>
    </row>
    <row r="942" customFormat="false" ht="14.25" hidden="false" customHeight="true" outlineLevel="0" collapsed="false">
      <c r="A942" s="16"/>
      <c r="B942" s="16"/>
      <c r="C942" s="16"/>
      <c r="D942" s="16"/>
      <c r="E942" s="16"/>
      <c r="F942" s="16"/>
      <c r="G942" s="16"/>
      <c r="H942" s="16"/>
      <c r="I942" s="16"/>
      <c r="J942" s="16"/>
      <c r="K942" s="16"/>
      <c r="L942" s="16"/>
      <c r="M942" s="16"/>
      <c r="N942" s="16"/>
      <c r="O942" s="16"/>
      <c r="P942" s="16"/>
      <c r="Q942" s="16"/>
      <c r="R942" s="16"/>
      <c r="S942" s="16"/>
      <c r="T942" s="16"/>
      <c r="U942" s="16"/>
      <c r="V942" s="16"/>
      <c r="W942" s="16"/>
    </row>
    <row r="943" customFormat="false" ht="14.25" hidden="false" customHeight="true" outlineLevel="0" collapsed="false">
      <c r="A943" s="16"/>
      <c r="B943" s="16"/>
      <c r="C943" s="16"/>
      <c r="D943" s="16"/>
      <c r="E943" s="16"/>
      <c r="F943" s="16"/>
      <c r="G943" s="16"/>
      <c r="H943" s="16"/>
      <c r="I943" s="16"/>
      <c r="J943" s="16"/>
      <c r="K943" s="16"/>
      <c r="L943" s="16"/>
      <c r="M943" s="16"/>
      <c r="N943" s="16"/>
      <c r="O943" s="16"/>
      <c r="P943" s="16"/>
      <c r="Q943" s="16"/>
      <c r="R943" s="16"/>
      <c r="S943" s="16"/>
      <c r="T943" s="16"/>
      <c r="U943" s="16"/>
      <c r="V943" s="16"/>
      <c r="W943" s="16"/>
    </row>
    <row r="944" customFormat="false" ht="14.25" hidden="false" customHeight="true" outlineLevel="0" collapsed="false">
      <c r="A944" s="16"/>
      <c r="B944" s="16"/>
      <c r="C944" s="16"/>
      <c r="D944" s="16"/>
      <c r="E944" s="16"/>
      <c r="F944" s="16"/>
      <c r="G944" s="16"/>
      <c r="H944" s="16"/>
      <c r="I944" s="16"/>
      <c r="J944" s="16"/>
      <c r="K944" s="16"/>
      <c r="L944" s="16"/>
      <c r="M944" s="16"/>
      <c r="N944" s="16"/>
      <c r="O944" s="16"/>
      <c r="P944" s="16"/>
      <c r="Q944" s="16"/>
      <c r="R944" s="16"/>
      <c r="S944" s="16"/>
      <c r="T944" s="16"/>
      <c r="U944" s="16"/>
      <c r="V944" s="16"/>
      <c r="W944" s="16"/>
    </row>
    <row r="945" customFormat="false" ht="14.25" hidden="false" customHeight="true" outlineLevel="0" collapsed="false">
      <c r="A945" s="16"/>
      <c r="B945" s="16"/>
      <c r="C945" s="16"/>
      <c r="D945" s="16"/>
      <c r="E945" s="16"/>
      <c r="F945" s="16"/>
      <c r="G945" s="16"/>
      <c r="H945" s="16"/>
      <c r="I945" s="16"/>
      <c r="J945" s="16"/>
      <c r="K945" s="16"/>
      <c r="L945" s="16"/>
      <c r="M945" s="16"/>
      <c r="N945" s="16"/>
      <c r="O945" s="16"/>
      <c r="P945" s="16"/>
      <c r="Q945" s="16"/>
      <c r="R945" s="16"/>
      <c r="S945" s="16"/>
      <c r="T945" s="16"/>
      <c r="U945" s="16"/>
      <c r="V945" s="16"/>
      <c r="W945" s="16"/>
    </row>
    <row r="946" customFormat="false" ht="14.25" hidden="false" customHeight="true" outlineLevel="0" collapsed="false">
      <c r="A946" s="16"/>
      <c r="B946" s="16"/>
      <c r="C946" s="16"/>
      <c r="D946" s="16"/>
      <c r="E946" s="16"/>
      <c r="F946" s="16"/>
      <c r="G946" s="16"/>
      <c r="H946" s="16"/>
      <c r="I946" s="16"/>
      <c r="J946" s="16"/>
      <c r="K946" s="16"/>
      <c r="L946" s="16"/>
      <c r="M946" s="16"/>
      <c r="N946" s="16"/>
      <c r="O946" s="16"/>
      <c r="P946" s="16"/>
      <c r="Q946" s="16"/>
      <c r="R946" s="16"/>
      <c r="S946" s="16"/>
      <c r="T946" s="16"/>
      <c r="U946" s="16"/>
      <c r="V946" s="16"/>
      <c r="W946" s="16"/>
    </row>
    <row r="947" customFormat="false" ht="14.25" hidden="false" customHeight="true" outlineLevel="0" collapsed="false">
      <c r="A947" s="16"/>
      <c r="B947" s="16"/>
      <c r="C947" s="16"/>
      <c r="D947" s="16"/>
      <c r="E947" s="16"/>
      <c r="F947" s="16"/>
      <c r="G947" s="16"/>
      <c r="H947" s="16"/>
      <c r="I947" s="16"/>
      <c r="J947" s="16"/>
      <c r="K947" s="16"/>
      <c r="L947" s="16"/>
      <c r="M947" s="16"/>
      <c r="N947" s="16"/>
      <c r="O947" s="16"/>
      <c r="P947" s="16"/>
      <c r="Q947" s="16"/>
      <c r="R947" s="16"/>
      <c r="S947" s="16"/>
      <c r="T947" s="16"/>
      <c r="U947" s="16"/>
      <c r="V947" s="16"/>
      <c r="W947" s="16"/>
    </row>
    <row r="948" customFormat="false" ht="14.25" hidden="false" customHeight="true" outlineLevel="0" collapsed="false">
      <c r="A948" s="16"/>
      <c r="B948" s="16"/>
      <c r="C948" s="16"/>
      <c r="D948" s="16"/>
      <c r="E948" s="16"/>
      <c r="F948" s="16"/>
      <c r="G948" s="16"/>
      <c r="H948" s="16"/>
      <c r="I948" s="16"/>
      <c r="J948" s="16"/>
      <c r="K948" s="16"/>
      <c r="L948" s="16"/>
      <c r="M948" s="16"/>
      <c r="N948" s="16"/>
      <c r="O948" s="16"/>
      <c r="P948" s="16"/>
      <c r="Q948" s="16"/>
      <c r="R948" s="16"/>
      <c r="S948" s="16"/>
      <c r="T948" s="16"/>
      <c r="U948" s="16"/>
      <c r="V948" s="16"/>
      <c r="W948" s="16"/>
    </row>
    <row r="949" customFormat="false" ht="14.25" hidden="false" customHeight="true" outlineLevel="0" collapsed="false">
      <c r="A949" s="16"/>
      <c r="B949" s="16"/>
      <c r="C949" s="16"/>
      <c r="D949" s="16"/>
      <c r="E949" s="16"/>
      <c r="F949" s="16"/>
      <c r="G949" s="16"/>
      <c r="H949" s="16"/>
      <c r="I949" s="16"/>
      <c r="J949" s="16"/>
      <c r="K949" s="16"/>
      <c r="L949" s="16"/>
      <c r="M949" s="16"/>
      <c r="N949" s="16"/>
      <c r="O949" s="16"/>
      <c r="P949" s="16"/>
      <c r="Q949" s="16"/>
      <c r="R949" s="16"/>
      <c r="S949" s="16"/>
      <c r="T949" s="16"/>
      <c r="U949" s="16"/>
      <c r="V949" s="16"/>
      <c r="W949" s="16"/>
    </row>
    <row r="950" customFormat="false" ht="14.25" hidden="false" customHeight="true" outlineLevel="0" collapsed="false">
      <c r="A950" s="16"/>
      <c r="B950" s="16"/>
      <c r="C950" s="16"/>
      <c r="D950" s="16"/>
      <c r="E950" s="16"/>
      <c r="F950" s="16"/>
      <c r="G950" s="16"/>
      <c r="H950" s="16"/>
      <c r="I950" s="16"/>
      <c r="J950" s="16"/>
      <c r="K950" s="16"/>
      <c r="L950" s="16"/>
      <c r="M950" s="16"/>
      <c r="N950" s="16"/>
      <c r="O950" s="16"/>
      <c r="P950" s="16"/>
      <c r="Q950" s="16"/>
      <c r="R950" s="16"/>
      <c r="S950" s="16"/>
      <c r="T950" s="16"/>
      <c r="U950" s="16"/>
      <c r="V950" s="16"/>
      <c r="W950" s="16"/>
    </row>
    <row r="951" customFormat="false" ht="14.25" hidden="false" customHeight="true" outlineLevel="0" collapsed="false">
      <c r="A951" s="16"/>
      <c r="B951" s="16"/>
      <c r="C951" s="16"/>
      <c r="D951" s="16"/>
      <c r="E951" s="16"/>
      <c r="F951" s="16"/>
      <c r="G951" s="16"/>
      <c r="H951" s="16"/>
      <c r="I951" s="16"/>
      <c r="J951" s="16"/>
      <c r="K951" s="16"/>
      <c r="L951" s="16"/>
      <c r="M951" s="16"/>
      <c r="N951" s="16"/>
      <c r="O951" s="16"/>
      <c r="P951" s="16"/>
      <c r="Q951" s="16"/>
      <c r="R951" s="16"/>
      <c r="S951" s="16"/>
      <c r="T951" s="16"/>
      <c r="U951" s="16"/>
      <c r="V951" s="16"/>
      <c r="W951" s="16"/>
    </row>
    <row r="952" customFormat="false" ht="14.25" hidden="false" customHeight="true" outlineLevel="0" collapsed="false">
      <c r="A952" s="16"/>
      <c r="B952" s="16"/>
      <c r="C952" s="16"/>
      <c r="D952" s="16"/>
      <c r="E952" s="16"/>
      <c r="F952" s="16"/>
      <c r="G952" s="16"/>
      <c r="H952" s="16"/>
      <c r="I952" s="16"/>
      <c r="J952" s="16"/>
      <c r="K952" s="16"/>
      <c r="L952" s="16"/>
      <c r="M952" s="16"/>
      <c r="N952" s="16"/>
      <c r="O952" s="16"/>
      <c r="P952" s="16"/>
      <c r="Q952" s="16"/>
      <c r="R952" s="16"/>
      <c r="S952" s="16"/>
      <c r="T952" s="16"/>
      <c r="U952" s="16"/>
      <c r="V952" s="16"/>
      <c r="W952" s="16"/>
    </row>
    <row r="953" customFormat="false" ht="14.25" hidden="false" customHeight="true" outlineLevel="0" collapsed="false">
      <c r="A953" s="16"/>
      <c r="B953" s="16"/>
      <c r="C953" s="16"/>
      <c r="D953" s="16"/>
      <c r="E953" s="16"/>
      <c r="F953" s="16"/>
      <c r="G953" s="16"/>
      <c r="H953" s="16"/>
      <c r="I953" s="16"/>
      <c r="J953" s="16"/>
      <c r="K953" s="16"/>
      <c r="L953" s="16"/>
      <c r="M953" s="16"/>
      <c r="N953" s="16"/>
      <c r="O953" s="16"/>
      <c r="P953" s="16"/>
      <c r="Q953" s="16"/>
      <c r="R953" s="16"/>
      <c r="S953" s="16"/>
      <c r="T953" s="16"/>
      <c r="U953" s="16"/>
      <c r="V953" s="16"/>
      <c r="W953" s="16"/>
    </row>
    <row r="954" customFormat="false" ht="14.25" hidden="false" customHeight="true" outlineLevel="0" collapsed="false">
      <c r="A954" s="16"/>
      <c r="B954" s="16"/>
      <c r="C954" s="16"/>
      <c r="D954" s="16"/>
      <c r="E954" s="16"/>
      <c r="F954" s="16"/>
      <c r="G954" s="16"/>
      <c r="H954" s="16"/>
      <c r="I954" s="16"/>
      <c r="J954" s="16"/>
      <c r="K954" s="16"/>
      <c r="L954" s="16"/>
      <c r="M954" s="16"/>
      <c r="N954" s="16"/>
      <c r="O954" s="16"/>
      <c r="P954" s="16"/>
      <c r="Q954" s="16"/>
      <c r="R954" s="16"/>
      <c r="S954" s="16"/>
      <c r="T954" s="16"/>
      <c r="U954" s="16"/>
      <c r="V954" s="16"/>
      <c r="W954" s="16"/>
    </row>
    <row r="955" customFormat="false" ht="14.25" hidden="false" customHeight="true" outlineLevel="0" collapsed="false">
      <c r="A955" s="16"/>
      <c r="B955" s="16"/>
      <c r="C955" s="16"/>
      <c r="D955" s="16"/>
      <c r="E955" s="16"/>
      <c r="F955" s="16"/>
      <c r="G955" s="16"/>
      <c r="H955" s="16"/>
      <c r="I955" s="16"/>
      <c r="J955" s="16"/>
      <c r="K955" s="16"/>
      <c r="L955" s="16"/>
      <c r="M955" s="16"/>
      <c r="N955" s="16"/>
      <c r="O955" s="16"/>
      <c r="P955" s="16"/>
      <c r="Q955" s="16"/>
      <c r="R955" s="16"/>
      <c r="S955" s="16"/>
      <c r="T955" s="16"/>
      <c r="U955" s="16"/>
      <c r="V955" s="16"/>
      <c r="W955" s="16"/>
    </row>
    <row r="956" customFormat="false" ht="14.25" hidden="false" customHeight="true" outlineLevel="0" collapsed="false">
      <c r="A956" s="16"/>
      <c r="B956" s="16"/>
      <c r="C956" s="16"/>
      <c r="D956" s="16"/>
      <c r="E956" s="16"/>
      <c r="F956" s="16"/>
      <c r="G956" s="16"/>
      <c r="H956" s="16"/>
      <c r="I956" s="16"/>
      <c r="J956" s="16"/>
      <c r="K956" s="16"/>
      <c r="L956" s="16"/>
      <c r="M956" s="16"/>
      <c r="N956" s="16"/>
      <c r="O956" s="16"/>
      <c r="P956" s="16"/>
      <c r="Q956" s="16"/>
      <c r="R956" s="16"/>
      <c r="S956" s="16"/>
      <c r="T956" s="16"/>
      <c r="U956" s="16"/>
      <c r="V956" s="16"/>
      <c r="W956" s="16"/>
    </row>
    <row r="957" customFormat="false" ht="14.25" hidden="false" customHeight="true" outlineLevel="0" collapsed="false">
      <c r="A957" s="16"/>
      <c r="B957" s="16"/>
      <c r="C957" s="16"/>
      <c r="D957" s="16"/>
      <c r="E957" s="16"/>
      <c r="F957" s="16"/>
      <c r="G957" s="16"/>
      <c r="H957" s="16"/>
      <c r="I957" s="16"/>
      <c r="J957" s="16"/>
      <c r="K957" s="16"/>
      <c r="L957" s="16"/>
      <c r="M957" s="16"/>
      <c r="N957" s="16"/>
      <c r="O957" s="16"/>
      <c r="P957" s="16"/>
      <c r="Q957" s="16"/>
      <c r="R957" s="16"/>
      <c r="S957" s="16"/>
      <c r="T957" s="16"/>
      <c r="U957" s="16"/>
      <c r="V957" s="16"/>
      <c r="W957" s="16"/>
    </row>
    <row r="958" customFormat="false" ht="14.25" hidden="false" customHeight="true" outlineLevel="0" collapsed="false">
      <c r="A958" s="16"/>
      <c r="B958" s="16"/>
      <c r="C958" s="16"/>
      <c r="D958" s="16"/>
      <c r="E958" s="16"/>
      <c r="F958" s="16"/>
      <c r="G958" s="16"/>
      <c r="H958" s="16"/>
      <c r="I958" s="16"/>
      <c r="J958" s="16"/>
      <c r="K958" s="16"/>
      <c r="L958" s="16"/>
      <c r="M958" s="16"/>
      <c r="N958" s="16"/>
      <c r="O958" s="16"/>
      <c r="P958" s="16"/>
      <c r="Q958" s="16"/>
      <c r="R958" s="16"/>
      <c r="S958" s="16"/>
      <c r="T958" s="16"/>
      <c r="U958" s="16"/>
      <c r="V958" s="16"/>
      <c r="W958" s="16"/>
    </row>
    <row r="959" customFormat="false" ht="14.25" hidden="false" customHeight="true" outlineLevel="0" collapsed="false">
      <c r="A959" s="16"/>
      <c r="B959" s="16"/>
      <c r="C959" s="16"/>
      <c r="D959" s="16"/>
      <c r="E959" s="16"/>
      <c r="F959" s="16"/>
      <c r="G959" s="16"/>
      <c r="H959" s="16"/>
      <c r="I959" s="16"/>
      <c r="J959" s="16"/>
      <c r="K959" s="16"/>
      <c r="L959" s="16"/>
      <c r="M959" s="16"/>
      <c r="N959" s="16"/>
      <c r="O959" s="16"/>
      <c r="P959" s="16"/>
      <c r="Q959" s="16"/>
      <c r="R959" s="16"/>
      <c r="S959" s="16"/>
      <c r="T959" s="16"/>
      <c r="U959" s="16"/>
      <c r="V959" s="16"/>
      <c r="W959" s="16"/>
    </row>
    <row r="960" customFormat="false" ht="14.25" hidden="false" customHeight="true" outlineLevel="0" collapsed="false">
      <c r="A960" s="16"/>
      <c r="B960" s="16"/>
      <c r="C960" s="16"/>
      <c r="D960" s="16"/>
      <c r="E960" s="16"/>
      <c r="F960" s="16"/>
      <c r="G960" s="16"/>
      <c r="H960" s="16"/>
      <c r="I960" s="16"/>
      <c r="J960" s="16"/>
      <c r="K960" s="16"/>
      <c r="L960" s="16"/>
      <c r="M960" s="16"/>
      <c r="N960" s="16"/>
      <c r="O960" s="16"/>
      <c r="P960" s="16"/>
      <c r="Q960" s="16"/>
      <c r="R960" s="16"/>
      <c r="S960" s="16"/>
      <c r="T960" s="16"/>
      <c r="U960" s="16"/>
      <c r="V960" s="16"/>
      <c r="W960" s="16"/>
    </row>
    <row r="961" customFormat="false" ht="14.25" hidden="false" customHeight="true" outlineLevel="0" collapsed="false">
      <c r="A961" s="16"/>
      <c r="B961" s="16"/>
      <c r="C961" s="16"/>
      <c r="D961" s="16"/>
      <c r="E961" s="16"/>
      <c r="F961" s="16"/>
      <c r="G961" s="16"/>
      <c r="H961" s="16"/>
      <c r="I961" s="16"/>
      <c r="J961" s="16"/>
      <c r="K961" s="16"/>
      <c r="L961" s="16"/>
      <c r="M961" s="16"/>
      <c r="N961" s="16"/>
      <c r="O961" s="16"/>
      <c r="P961" s="16"/>
      <c r="Q961" s="16"/>
      <c r="R961" s="16"/>
      <c r="S961" s="16"/>
      <c r="T961" s="16"/>
      <c r="U961" s="16"/>
      <c r="V961" s="16"/>
      <c r="W961" s="16"/>
    </row>
    <row r="962" customFormat="false" ht="14.25" hidden="false" customHeight="true" outlineLevel="0" collapsed="false">
      <c r="A962" s="16"/>
      <c r="B962" s="16"/>
      <c r="C962" s="16"/>
      <c r="D962" s="16"/>
      <c r="E962" s="16"/>
      <c r="F962" s="16"/>
      <c r="G962" s="16"/>
      <c r="H962" s="16"/>
      <c r="I962" s="16"/>
      <c r="J962" s="16"/>
      <c r="K962" s="16"/>
      <c r="L962" s="16"/>
      <c r="M962" s="16"/>
      <c r="N962" s="16"/>
      <c r="O962" s="16"/>
      <c r="P962" s="16"/>
      <c r="Q962" s="16"/>
      <c r="R962" s="16"/>
      <c r="S962" s="16"/>
      <c r="T962" s="16"/>
      <c r="U962" s="16"/>
      <c r="V962" s="16"/>
      <c r="W962" s="16"/>
    </row>
    <row r="963" customFormat="false" ht="14.25" hidden="false" customHeight="true" outlineLevel="0" collapsed="false">
      <c r="A963" s="16"/>
      <c r="B963" s="16"/>
      <c r="C963" s="16"/>
      <c r="D963" s="16"/>
      <c r="E963" s="16"/>
      <c r="F963" s="16"/>
      <c r="G963" s="16"/>
      <c r="H963" s="16"/>
      <c r="I963" s="16"/>
      <c r="J963" s="16"/>
      <c r="K963" s="16"/>
      <c r="L963" s="16"/>
      <c r="M963" s="16"/>
      <c r="N963" s="16"/>
      <c r="O963" s="16"/>
      <c r="P963" s="16"/>
      <c r="Q963" s="16"/>
      <c r="R963" s="16"/>
      <c r="S963" s="16"/>
      <c r="T963" s="16"/>
      <c r="U963" s="16"/>
      <c r="V963" s="16"/>
      <c r="W963" s="16"/>
    </row>
    <row r="964" customFormat="false" ht="14.25" hidden="false" customHeight="true" outlineLevel="0" collapsed="false">
      <c r="A964" s="16"/>
      <c r="B964" s="16"/>
      <c r="C964" s="16"/>
      <c r="D964" s="16"/>
      <c r="E964" s="16"/>
      <c r="F964" s="16"/>
      <c r="G964" s="16"/>
      <c r="H964" s="16"/>
      <c r="I964" s="16"/>
      <c r="J964" s="16"/>
      <c r="K964" s="16"/>
      <c r="L964" s="16"/>
      <c r="M964" s="16"/>
      <c r="N964" s="16"/>
      <c r="O964" s="16"/>
      <c r="P964" s="16"/>
      <c r="Q964" s="16"/>
      <c r="R964" s="16"/>
      <c r="S964" s="16"/>
      <c r="T964" s="16"/>
      <c r="U964" s="16"/>
      <c r="V964" s="16"/>
      <c r="W964" s="16"/>
    </row>
    <row r="965" customFormat="false" ht="14.25" hidden="false" customHeight="true" outlineLevel="0" collapsed="false">
      <c r="A965" s="16"/>
      <c r="B965" s="16"/>
      <c r="C965" s="16"/>
      <c r="D965" s="16"/>
      <c r="E965" s="16"/>
      <c r="F965" s="16"/>
      <c r="G965" s="16"/>
      <c r="H965" s="16"/>
      <c r="I965" s="16"/>
      <c r="J965" s="16"/>
      <c r="K965" s="16"/>
      <c r="L965" s="16"/>
      <c r="M965" s="16"/>
      <c r="N965" s="16"/>
      <c r="O965" s="16"/>
      <c r="P965" s="16"/>
      <c r="Q965" s="16"/>
      <c r="R965" s="16"/>
      <c r="S965" s="16"/>
      <c r="T965" s="16"/>
      <c r="U965" s="16"/>
      <c r="V965" s="16"/>
      <c r="W965" s="16"/>
    </row>
    <row r="966" customFormat="false" ht="14.25" hidden="false" customHeight="true" outlineLevel="0" collapsed="false">
      <c r="A966" s="16"/>
      <c r="B966" s="16"/>
      <c r="C966" s="16"/>
      <c r="D966" s="16"/>
      <c r="E966" s="16"/>
      <c r="F966" s="16"/>
      <c r="G966" s="16"/>
      <c r="H966" s="16"/>
      <c r="I966" s="16"/>
      <c r="J966" s="16"/>
      <c r="K966" s="16"/>
      <c r="L966" s="16"/>
      <c r="M966" s="16"/>
      <c r="N966" s="16"/>
      <c r="O966" s="16"/>
      <c r="P966" s="16"/>
      <c r="Q966" s="16"/>
      <c r="R966" s="16"/>
      <c r="S966" s="16"/>
      <c r="T966" s="16"/>
      <c r="U966" s="16"/>
      <c r="V966" s="16"/>
      <c r="W966" s="16"/>
    </row>
    <row r="967" customFormat="false" ht="14.25" hidden="false" customHeight="true" outlineLevel="0" collapsed="false">
      <c r="A967" s="16"/>
      <c r="B967" s="16"/>
      <c r="C967" s="16"/>
      <c r="D967" s="16"/>
      <c r="E967" s="16"/>
      <c r="F967" s="16"/>
      <c r="G967" s="16"/>
      <c r="H967" s="16"/>
      <c r="I967" s="16"/>
      <c r="J967" s="16"/>
      <c r="K967" s="16"/>
      <c r="L967" s="16"/>
      <c r="M967" s="16"/>
      <c r="N967" s="16"/>
      <c r="O967" s="16"/>
      <c r="P967" s="16"/>
      <c r="Q967" s="16"/>
      <c r="R967" s="16"/>
      <c r="S967" s="16"/>
      <c r="T967" s="16"/>
      <c r="U967" s="16"/>
      <c r="V967" s="16"/>
      <c r="W967" s="16"/>
    </row>
    <row r="968" customFormat="false" ht="14.25" hidden="false" customHeight="true" outlineLevel="0" collapsed="false">
      <c r="A968" s="16"/>
      <c r="B968" s="16"/>
      <c r="C968" s="16"/>
      <c r="D968" s="16"/>
      <c r="E968" s="16"/>
      <c r="F968" s="16"/>
      <c r="G968" s="16"/>
      <c r="H968" s="16"/>
      <c r="I968" s="16"/>
      <c r="J968" s="16"/>
      <c r="K968" s="16"/>
      <c r="L968" s="16"/>
      <c r="M968" s="16"/>
      <c r="N968" s="16"/>
      <c r="O968" s="16"/>
      <c r="P968" s="16"/>
      <c r="Q968" s="16"/>
      <c r="R968" s="16"/>
      <c r="S968" s="16"/>
      <c r="T968" s="16"/>
      <c r="U968" s="16"/>
      <c r="V968" s="16"/>
      <c r="W968" s="16"/>
    </row>
    <row r="969" customFormat="false" ht="14.25" hidden="false" customHeight="true" outlineLevel="0" collapsed="false">
      <c r="A969" s="16"/>
      <c r="B969" s="16"/>
      <c r="C969" s="16"/>
      <c r="D969" s="16"/>
      <c r="E969" s="16"/>
      <c r="F969" s="16"/>
      <c r="G969" s="16"/>
      <c r="H969" s="16"/>
      <c r="I969" s="16"/>
      <c r="J969" s="16"/>
      <c r="K969" s="16"/>
      <c r="L969" s="16"/>
      <c r="M969" s="16"/>
      <c r="N969" s="16"/>
      <c r="O969" s="16"/>
      <c r="P969" s="16"/>
      <c r="Q969" s="16"/>
      <c r="R969" s="16"/>
      <c r="S969" s="16"/>
      <c r="T969" s="16"/>
      <c r="U969" s="16"/>
      <c r="V969" s="16"/>
      <c r="W969" s="16"/>
    </row>
    <row r="970" customFormat="false" ht="14.25" hidden="false" customHeight="true" outlineLevel="0" collapsed="false">
      <c r="A970" s="16"/>
      <c r="B970" s="16"/>
      <c r="C970" s="16"/>
      <c r="D970" s="16"/>
      <c r="E970" s="16"/>
      <c r="F970" s="16"/>
      <c r="G970" s="16"/>
      <c r="H970" s="16"/>
      <c r="I970" s="16"/>
      <c r="J970" s="16"/>
      <c r="K970" s="16"/>
      <c r="L970" s="16"/>
      <c r="M970" s="16"/>
      <c r="N970" s="16"/>
      <c r="O970" s="16"/>
      <c r="P970" s="16"/>
      <c r="Q970" s="16"/>
      <c r="R970" s="16"/>
      <c r="S970" s="16"/>
      <c r="T970" s="16"/>
      <c r="U970" s="16"/>
      <c r="V970" s="16"/>
      <c r="W970" s="16"/>
    </row>
    <row r="971" customFormat="false" ht="14.25" hidden="false" customHeight="true" outlineLevel="0" collapsed="false">
      <c r="A971" s="16"/>
      <c r="B971" s="16"/>
      <c r="C971" s="16"/>
      <c r="D971" s="16"/>
      <c r="E971" s="16"/>
      <c r="F971" s="16"/>
      <c r="G971" s="16"/>
      <c r="H971" s="16"/>
      <c r="I971" s="16"/>
      <c r="J971" s="16"/>
      <c r="K971" s="16"/>
      <c r="L971" s="16"/>
      <c r="M971" s="16"/>
      <c r="N971" s="16"/>
      <c r="O971" s="16"/>
      <c r="P971" s="16"/>
      <c r="Q971" s="16"/>
      <c r="R971" s="16"/>
      <c r="S971" s="16"/>
      <c r="T971" s="16"/>
      <c r="U971" s="16"/>
      <c r="V971" s="16"/>
      <c r="W971" s="16"/>
    </row>
    <row r="972" customFormat="false" ht="14.25" hidden="false" customHeight="true" outlineLevel="0" collapsed="false">
      <c r="A972" s="16"/>
      <c r="B972" s="16"/>
      <c r="C972" s="16"/>
      <c r="D972" s="16"/>
      <c r="E972" s="16"/>
      <c r="F972" s="16"/>
      <c r="G972" s="16"/>
      <c r="H972" s="16"/>
      <c r="I972" s="16"/>
      <c r="J972" s="16"/>
      <c r="K972" s="16"/>
      <c r="L972" s="16"/>
      <c r="M972" s="16"/>
      <c r="N972" s="16"/>
      <c r="O972" s="16"/>
      <c r="P972" s="16"/>
      <c r="Q972" s="16"/>
      <c r="R972" s="16"/>
      <c r="S972" s="16"/>
      <c r="T972" s="16"/>
      <c r="U972" s="16"/>
      <c r="V972" s="16"/>
      <c r="W972" s="16"/>
    </row>
    <row r="973" customFormat="false" ht="14.25" hidden="false" customHeight="true" outlineLevel="0" collapsed="false">
      <c r="A973" s="16"/>
      <c r="B973" s="16"/>
      <c r="C973" s="16"/>
      <c r="D973" s="16"/>
      <c r="E973" s="16"/>
      <c r="F973" s="16"/>
      <c r="G973" s="16"/>
      <c r="H973" s="16"/>
      <c r="I973" s="16"/>
      <c r="J973" s="16"/>
      <c r="K973" s="16"/>
      <c r="L973" s="16"/>
      <c r="M973" s="16"/>
      <c r="N973" s="16"/>
      <c r="O973" s="16"/>
      <c r="P973" s="16"/>
      <c r="Q973" s="16"/>
      <c r="R973" s="16"/>
      <c r="S973" s="16"/>
      <c r="T973" s="16"/>
      <c r="U973" s="16"/>
      <c r="V973" s="16"/>
      <c r="W973" s="16"/>
    </row>
    <row r="974" customFormat="false" ht="14.25" hidden="false" customHeight="true" outlineLevel="0" collapsed="false">
      <c r="A974" s="16"/>
      <c r="B974" s="16"/>
      <c r="C974" s="16"/>
      <c r="D974" s="16"/>
      <c r="E974" s="16"/>
      <c r="F974" s="16"/>
      <c r="G974" s="16"/>
      <c r="H974" s="16"/>
      <c r="I974" s="16"/>
      <c r="J974" s="16"/>
      <c r="K974" s="16"/>
      <c r="L974" s="16"/>
      <c r="M974" s="16"/>
      <c r="N974" s="16"/>
      <c r="O974" s="16"/>
      <c r="P974" s="16"/>
      <c r="Q974" s="16"/>
      <c r="R974" s="16"/>
      <c r="S974" s="16"/>
      <c r="T974" s="16"/>
      <c r="U974" s="16"/>
      <c r="V974" s="16"/>
      <c r="W974" s="16"/>
    </row>
    <row r="975" customFormat="false" ht="14.25" hidden="false" customHeight="true" outlineLevel="0" collapsed="false">
      <c r="A975" s="16"/>
      <c r="B975" s="16"/>
      <c r="C975" s="16"/>
      <c r="D975" s="16"/>
      <c r="E975" s="16"/>
      <c r="F975" s="16"/>
      <c r="G975" s="16"/>
      <c r="H975" s="16"/>
      <c r="I975" s="16"/>
      <c r="J975" s="16"/>
      <c r="K975" s="16"/>
      <c r="L975" s="16"/>
      <c r="M975" s="16"/>
      <c r="N975" s="16"/>
      <c r="O975" s="16"/>
      <c r="P975" s="16"/>
      <c r="Q975" s="16"/>
      <c r="R975" s="16"/>
      <c r="S975" s="16"/>
      <c r="T975" s="16"/>
      <c r="U975" s="16"/>
      <c r="V975" s="16"/>
      <c r="W975" s="16"/>
    </row>
    <row r="976" customFormat="false" ht="14.25" hidden="false" customHeight="true" outlineLevel="0" collapsed="false">
      <c r="A976" s="16"/>
      <c r="B976" s="16"/>
      <c r="C976" s="16"/>
      <c r="D976" s="16"/>
      <c r="E976" s="16"/>
      <c r="F976" s="16"/>
      <c r="G976" s="16"/>
      <c r="H976" s="16"/>
      <c r="I976" s="16"/>
      <c r="J976" s="16"/>
      <c r="K976" s="16"/>
      <c r="L976" s="16"/>
      <c r="M976" s="16"/>
      <c r="N976" s="16"/>
      <c r="O976" s="16"/>
      <c r="P976" s="16"/>
      <c r="Q976" s="16"/>
      <c r="R976" s="16"/>
      <c r="S976" s="16"/>
      <c r="T976" s="16"/>
      <c r="U976" s="16"/>
      <c r="V976" s="16"/>
      <c r="W976" s="16"/>
    </row>
    <row r="977" customFormat="false" ht="14.25" hidden="false" customHeight="true" outlineLevel="0" collapsed="false">
      <c r="A977" s="16"/>
      <c r="B977" s="16"/>
      <c r="C977" s="16"/>
      <c r="D977" s="16"/>
      <c r="E977" s="16"/>
      <c r="F977" s="16"/>
      <c r="G977" s="16"/>
      <c r="H977" s="16"/>
      <c r="I977" s="16"/>
      <c r="J977" s="16"/>
      <c r="K977" s="16"/>
      <c r="L977" s="16"/>
      <c r="M977" s="16"/>
      <c r="N977" s="16"/>
      <c r="O977" s="16"/>
      <c r="P977" s="16"/>
      <c r="Q977" s="16"/>
      <c r="R977" s="16"/>
      <c r="S977" s="16"/>
      <c r="T977" s="16"/>
      <c r="U977" s="16"/>
      <c r="V977" s="16"/>
      <c r="W977" s="16"/>
    </row>
    <row r="978" customFormat="false" ht="14.25" hidden="false" customHeight="true" outlineLevel="0" collapsed="false">
      <c r="A978" s="16"/>
      <c r="B978" s="16"/>
      <c r="C978" s="16"/>
      <c r="D978" s="16"/>
      <c r="E978" s="16"/>
      <c r="F978" s="16"/>
      <c r="G978" s="16"/>
      <c r="H978" s="16"/>
      <c r="I978" s="16"/>
      <c r="J978" s="16"/>
      <c r="K978" s="16"/>
      <c r="L978" s="16"/>
      <c r="M978" s="16"/>
      <c r="N978" s="16"/>
      <c r="O978" s="16"/>
      <c r="P978" s="16"/>
      <c r="Q978" s="16"/>
      <c r="R978" s="16"/>
      <c r="S978" s="16"/>
      <c r="T978" s="16"/>
      <c r="U978" s="16"/>
      <c r="V978" s="16"/>
      <c r="W978" s="16"/>
    </row>
    <row r="979" customFormat="false" ht="14.25" hidden="false" customHeight="true" outlineLevel="0" collapsed="false">
      <c r="A979" s="16"/>
      <c r="B979" s="16"/>
      <c r="C979" s="16"/>
      <c r="D979" s="16"/>
      <c r="E979" s="16"/>
      <c r="F979" s="16"/>
      <c r="G979" s="16"/>
      <c r="H979" s="16"/>
      <c r="I979" s="16"/>
      <c r="J979" s="16"/>
      <c r="K979" s="16"/>
      <c r="L979" s="16"/>
      <c r="M979" s="16"/>
      <c r="N979" s="16"/>
      <c r="O979" s="16"/>
      <c r="P979" s="16"/>
      <c r="Q979" s="16"/>
      <c r="R979" s="16"/>
      <c r="S979" s="16"/>
      <c r="T979" s="16"/>
      <c r="U979" s="16"/>
      <c r="V979" s="16"/>
      <c r="W979" s="16"/>
    </row>
    <row r="980" customFormat="false" ht="14.25" hidden="false" customHeight="true" outlineLevel="0" collapsed="false">
      <c r="A980" s="16"/>
      <c r="B980" s="16"/>
      <c r="C980" s="16"/>
      <c r="D980" s="16"/>
      <c r="E980" s="16"/>
      <c r="F980" s="16"/>
      <c r="G980" s="16"/>
      <c r="H980" s="16"/>
      <c r="I980" s="16"/>
      <c r="J980" s="16"/>
      <c r="K980" s="16"/>
      <c r="L980" s="16"/>
      <c r="M980" s="16"/>
      <c r="N980" s="16"/>
      <c r="O980" s="16"/>
      <c r="P980" s="16"/>
      <c r="Q980" s="16"/>
      <c r="R980" s="16"/>
      <c r="S980" s="16"/>
      <c r="T980" s="16"/>
      <c r="U980" s="16"/>
      <c r="V980" s="16"/>
      <c r="W980" s="16"/>
    </row>
    <row r="981" customFormat="false" ht="14.25" hidden="false" customHeight="true" outlineLevel="0" collapsed="false">
      <c r="A981" s="16"/>
      <c r="B981" s="16"/>
      <c r="C981" s="16"/>
      <c r="D981" s="16"/>
      <c r="E981" s="16"/>
      <c r="F981" s="16"/>
      <c r="G981" s="16"/>
      <c r="H981" s="16"/>
      <c r="I981" s="16"/>
      <c r="J981" s="16"/>
      <c r="K981" s="16"/>
      <c r="L981" s="16"/>
      <c r="M981" s="16"/>
      <c r="N981" s="16"/>
      <c r="O981" s="16"/>
      <c r="P981" s="16"/>
      <c r="Q981" s="16"/>
      <c r="R981" s="16"/>
      <c r="S981" s="16"/>
      <c r="T981" s="16"/>
      <c r="U981" s="16"/>
      <c r="V981" s="16"/>
      <c r="W981" s="16"/>
    </row>
    <row r="982" customFormat="false" ht="14.25" hidden="false" customHeight="true" outlineLevel="0" collapsed="false">
      <c r="A982" s="16"/>
      <c r="B982" s="16"/>
      <c r="C982" s="16"/>
      <c r="D982" s="16"/>
      <c r="E982" s="16"/>
      <c r="F982" s="16"/>
      <c r="G982" s="16"/>
      <c r="H982" s="16"/>
      <c r="I982" s="16"/>
      <c r="J982" s="16"/>
      <c r="K982" s="16"/>
      <c r="L982" s="16"/>
      <c r="M982" s="16"/>
      <c r="N982" s="16"/>
      <c r="O982" s="16"/>
      <c r="P982" s="16"/>
      <c r="Q982" s="16"/>
      <c r="R982" s="16"/>
      <c r="S982" s="16"/>
      <c r="T982" s="16"/>
      <c r="U982" s="16"/>
      <c r="V982" s="16"/>
      <c r="W982" s="16"/>
    </row>
    <row r="983" customFormat="false" ht="14.25" hidden="false" customHeight="true" outlineLevel="0" collapsed="false">
      <c r="A983" s="16"/>
      <c r="B983" s="16"/>
      <c r="C983" s="16"/>
      <c r="D983" s="16"/>
      <c r="E983" s="16"/>
      <c r="F983" s="16"/>
      <c r="G983" s="16"/>
      <c r="H983" s="16"/>
      <c r="I983" s="16"/>
      <c r="J983" s="16"/>
      <c r="K983" s="16"/>
      <c r="L983" s="16"/>
      <c r="M983" s="16"/>
      <c r="N983" s="16"/>
      <c r="O983" s="16"/>
      <c r="P983" s="16"/>
      <c r="Q983" s="16"/>
      <c r="R983" s="16"/>
      <c r="S983" s="16"/>
      <c r="T983" s="16"/>
      <c r="U983" s="16"/>
      <c r="V983" s="16"/>
      <c r="W983" s="16"/>
    </row>
    <row r="984" customFormat="false" ht="14.25" hidden="false" customHeight="true" outlineLevel="0" collapsed="false">
      <c r="A984" s="16"/>
      <c r="B984" s="16"/>
      <c r="C984" s="16"/>
      <c r="D984" s="16"/>
      <c r="E984" s="16"/>
      <c r="F984" s="16"/>
      <c r="G984" s="16"/>
      <c r="H984" s="16"/>
      <c r="I984" s="16"/>
      <c r="J984" s="16"/>
      <c r="K984" s="16"/>
      <c r="L984" s="16"/>
      <c r="M984" s="16"/>
      <c r="N984" s="16"/>
      <c r="O984" s="16"/>
      <c r="P984" s="16"/>
      <c r="Q984" s="16"/>
      <c r="R984" s="16"/>
      <c r="S984" s="16"/>
      <c r="T984" s="16"/>
      <c r="U984" s="16"/>
      <c r="V984" s="16"/>
      <c r="W984" s="16"/>
    </row>
    <row r="985" customFormat="false" ht="14.25" hidden="false" customHeight="true" outlineLevel="0" collapsed="false">
      <c r="A985" s="16"/>
      <c r="B985" s="16"/>
      <c r="C985" s="16"/>
      <c r="D985" s="16"/>
      <c r="E985" s="16"/>
      <c r="F985" s="16"/>
      <c r="G985" s="16"/>
      <c r="H985" s="16"/>
      <c r="I985" s="16"/>
      <c r="J985" s="16"/>
      <c r="K985" s="16"/>
      <c r="L985" s="16"/>
      <c r="M985" s="16"/>
      <c r="N985" s="16"/>
      <c r="O985" s="16"/>
      <c r="P985" s="16"/>
      <c r="Q985" s="16"/>
      <c r="R985" s="16"/>
      <c r="S985" s="16"/>
      <c r="T985" s="16"/>
      <c r="U985" s="16"/>
      <c r="V985" s="16"/>
      <c r="W985" s="16"/>
    </row>
    <row r="986" customFormat="false" ht="14.25" hidden="false" customHeight="true" outlineLevel="0" collapsed="false">
      <c r="A986" s="16"/>
      <c r="B986" s="16"/>
      <c r="C986" s="16"/>
      <c r="D986" s="16"/>
      <c r="E986" s="16"/>
      <c r="F986" s="16"/>
      <c r="G986" s="16"/>
      <c r="H986" s="16"/>
      <c r="I986" s="16"/>
      <c r="J986" s="16"/>
      <c r="K986" s="16"/>
      <c r="L986" s="16"/>
      <c r="M986" s="16"/>
      <c r="N986" s="16"/>
      <c r="O986" s="16"/>
      <c r="P986" s="16"/>
      <c r="Q986" s="16"/>
      <c r="R986" s="16"/>
      <c r="S986" s="16"/>
      <c r="T986" s="16"/>
      <c r="U986" s="16"/>
      <c r="V986" s="16"/>
      <c r="W986" s="16"/>
    </row>
    <row r="987" customFormat="false" ht="14.25" hidden="false" customHeight="true" outlineLevel="0" collapsed="false">
      <c r="A987" s="16"/>
      <c r="B987" s="16"/>
      <c r="C987" s="16"/>
      <c r="D987" s="16"/>
      <c r="E987" s="16"/>
      <c r="F987" s="16"/>
      <c r="G987" s="16"/>
      <c r="H987" s="16"/>
      <c r="I987" s="16"/>
      <c r="J987" s="16"/>
      <c r="K987" s="16"/>
      <c r="L987" s="16"/>
      <c r="M987" s="16"/>
      <c r="N987" s="16"/>
      <c r="O987" s="16"/>
      <c r="P987" s="16"/>
      <c r="Q987" s="16"/>
      <c r="R987" s="16"/>
      <c r="S987" s="16"/>
      <c r="T987" s="16"/>
      <c r="U987" s="16"/>
      <c r="V987" s="16"/>
      <c r="W987" s="16"/>
    </row>
    <row r="988" customFormat="false" ht="14.25" hidden="false" customHeight="true" outlineLevel="0" collapsed="false">
      <c r="A988" s="16"/>
      <c r="B988" s="16"/>
      <c r="C988" s="16"/>
      <c r="D988" s="16"/>
      <c r="E988" s="16"/>
      <c r="F988" s="16"/>
      <c r="G988" s="16"/>
      <c r="H988" s="16"/>
      <c r="I988" s="16"/>
      <c r="J988" s="16"/>
      <c r="K988" s="16"/>
      <c r="L988" s="16"/>
      <c r="M988" s="16"/>
      <c r="N988" s="16"/>
      <c r="O988" s="16"/>
      <c r="P988" s="16"/>
      <c r="Q988" s="16"/>
      <c r="R988" s="16"/>
      <c r="S988" s="16"/>
      <c r="T988" s="16"/>
      <c r="U988" s="16"/>
      <c r="V988" s="16"/>
      <c r="W988" s="16"/>
    </row>
    <row r="989" customFormat="false" ht="14.25" hidden="false" customHeight="true" outlineLevel="0" collapsed="false">
      <c r="A989" s="16"/>
      <c r="B989" s="16"/>
      <c r="C989" s="16"/>
      <c r="D989" s="16"/>
      <c r="E989" s="16"/>
      <c r="F989" s="16"/>
      <c r="G989" s="16"/>
      <c r="H989" s="16"/>
      <c r="I989" s="16"/>
      <c r="J989" s="16"/>
      <c r="K989" s="16"/>
      <c r="L989" s="16"/>
      <c r="M989" s="16"/>
      <c r="N989" s="16"/>
      <c r="O989" s="16"/>
      <c r="P989" s="16"/>
      <c r="Q989" s="16"/>
      <c r="R989" s="16"/>
      <c r="S989" s="16"/>
      <c r="T989" s="16"/>
      <c r="U989" s="16"/>
      <c r="V989" s="16"/>
      <c r="W989" s="16"/>
    </row>
    <row r="990" customFormat="false" ht="14.25" hidden="false" customHeight="true" outlineLevel="0" collapsed="false">
      <c r="A990" s="16"/>
      <c r="B990" s="16"/>
      <c r="C990" s="16"/>
      <c r="D990" s="16"/>
      <c r="E990" s="16"/>
      <c r="F990" s="16"/>
      <c r="G990" s="16"/>
      <c r="H990" s="16"/>
      <c r="I990" s="16"/>
      <c r="J990" s="16"/>
      <c r="K990" s="16"/>
      <c r="L990" s="16"/>
      <c r="M990" s="16"/>
      <c r="N990" s="16"/>
      <c r="O990" s="16"/>
      <c r="P990" s="16"/>
      <c r="Q990" s="16"/>
      <c r="R990" s="16"/>
      <c r="S990" s="16"/>
      <c r="T990" s="16"/>
      <c r="U990" s="16"/>
      <c r="V990" s="16"/>
      <c r="W990" s="16"/>
    </row>
    <row r="991" customFormat="false" ht="14.25" hidden="false" customHeight="true" outlineLevel="0" collapsed="false">
      <c r="A991" s="16"/>
      <c r="B991" s="16"/>
      <c r="C991" s="16"/>
      <c r="D991" s="16"/>
      <c r="E991" s="16"/>
      <c r="F991" s="16"/>
      <c r="G991" s="16"/>
      <c r="H991" s="16"/>
      <c r="I991" s="16"/>
      <c r="J991" s="16"/>
      <c r="K991" s="16"/>
      <c r="L991" s="16"/>
      <c r="M991" s="16"/>
      <c r="N991" s="16"/>
      <c r="O991" s="16"/>
      <c r="P991" s="16"/>
      <c r="Q991" s="16"/>
      <c r="R991" s="16"/>
      <c r="S991" s="16"/>
      <c r="T991" s="16"/>
      <c r="U991" s="16"/>
      <c r="V991" s="16"/>
      <c r="W991" s="16"/>
    </row>
    <row r="992" customFormat="false" ht="14.25" hidden="false" customHeight="true" outlineLevel="0" collapsed="false">
      <c r="A992" s="16"/>
      <c r="B992" s="16"/>
      <c r="C992" s="16"/>
      <c r="D992" s="16"/>
      <c r="E992" s="16"/>
      <c r="F992" s="16"/>
      <c r="G992" s="16"/>
      <c r="H992" s="16"/>
      <c r="I992" s="16"/>
      <c r="J992" s="16"/>
      <c r="K992" s="16"/>
      <c r="L992" s="16"/>
      <c r="M992" s="16"/>
      <c r="N992" s="16"/>
      <c r="O992" s="16"/>
      <c r="P992" s="16"/>
      <c r="Q992" s="16"/>
      <c r="R992" s="16"/>
      <c r="S992" s="16"/>
      <c r="T992" s="16"/>
      <c r="U992" s="16"/>
      <c r="V992" s="16"/>
      <c r="W992" s="16"/>
    </row>
    <row r="993" customFormat="false" ht="14.25" hidden="false" customHeight="true" outlineLevel="0" collapsed="false">
      <c r="A993" s="16"/>
      <c r="B993" s="16"/>
      <c r="C993" s="16"/>
      <c r="D993" s="16"/>
      <c r="E993" s="16"/>
      <c r="F993" s="16"/>
      <c r="G993" s="16"/>
      <c r="H993" s="16"/>
      <c r="I993" s="16"/>
      <c r="J993" s="16"/>
      <c r="K993" s="16"/>
      <c r="L993" s="16"/>
      <c r="M993" s="16"/>
      <c r="N993" s="16"/>
      <c r="O993" s="16"/>
      <c r="P993" s="16"/>
      <c r="Q993" s="16"/>
      <c r="R993" s="16"/>
      <c r="S993" s="16"/>
      <c r="T993" s="16"/>
      <c r="U993" s="16"/>
      <c r="V993" s="16"/>
      <c r="W993" s="16"/>
    </row>
    <row r="994" customFormat="false" ht="14.25" hidden="false" customHeight="true" outlineLevel="0" collapsed="false">
      <c r="A994" s="16"/>
      <c r="B994" s="16"/>
      <c r="C994" s="16"/>
      <c r="D994" s="16"/>
      <c r="E994" s="16"/>
      <c r="F994" s="16"/>
      <c r="G994" s="16"/>
      <c r="H994" s="16"/>
      <c r="I994" s="16"/>
      <c r="J994" s="16"/>
      <c r="K994" s="16"/>
      <c r="L994" s="16"/>
      <c r="M994" s="16"/>
      <c r="N994" s="16"/>
      <c r="O994" s="16"/>
      <c r="P994" s="16"/>
      <c r="Q994" s="16"/>
      <c r="R994" s="16"/>
      <c r="S994" s="16"/>
      <c r="T994" s="16"/>
      <c r="U994" s="16"/>
      <c r="V994" s="16"/>
      <c r="W994" s="16"/>
    </row>
    <row r="995" customFormat="false" ht="14.25" hidden="false" customHeight="true" outlineLevel="0" collapsed="false">
      <c r="A995" s="16"/>
      <c r="B995" s="16"/>
      <c r="C995" s="16"/>
      <c r="D995" s="16"/>
      <c r="E995" s="16"/>
      <c r="F995" s="16"/>
      <c r="G995" s="16"/>
      <c r="H995" s="16"/>
      <c r="I995" s="16"/>
      <c r="J995" s="16"/>
      <c r="K995" s="16"/>
      <c r="L995" s="16"/>
      <c r="M995" s="16"/>
      <c r="N995" s="16"/>
      <c r="O995" s="16"/>
      <c r="P995" s="16"/>
      <c r="Q995" s="16"/>
      <c r="R995" s="16"/>
      <c r="S995" s="16"/>
      <c r="T995" s="16"/>
      <c r="U995" s="16"/>
      <c r="V995" s="16"/>
      <c r="W995" s="16"/>
    </row>
    <row r="996" customFormat="false" ht="14.25" hidden="false" customHeight="true" outlineLevel="0" collapsed="false">
      <c r="A996" s="16"/>
      <c r="B996" s="16"/>
      <c r="C996" s="16"/>
      <c r="D996" s="16"/>
      <c r="E996" s="16"/>
      <c r="F996" s="16"/>
      <c r="G996" s="16"/>
      <c r="H996" s="16"/>
      <c r="I996" s="16"/>
      <c r="J996" s="16"/>
      <c r="K996" s="16"/>
      <c r="L996" s="16"/>
      <c r="M996" s="16"/>
      <c r="N996" s="16"/>
      <c r="O996" s="16"/>
      <c r="P996" s="16"/>
      <c r="Q996" s="16"/>
      <c r="R996" s="16"/>
      <c r="S996" s="16"/>
      <c r="T996" s="16"/>
      <c r="U996" s="16"/>
      <c r="V996" s="16"/>
      <c r="W996" s="16"/>
    </row>
    <row r="997" customFormat="false" ht="14.25" hidden="false" customHeight="true" outlineLevel="0" collapsed="false">
      <c r="A997" s="16"/>
      <c r="B997" s="16"/>
      <c r="C997" s="16"/>
      <c r="D997" s="16"/>
      <c r="E997" s="16"/>
      <c r="F997" s="16"/>
      <c r="G997" s="16"/>
      <c r="H997" s="16"/>
      <c r="I997" s="16"/>
      <c r="J997" s="16"/>
      <c r="K997" s="16"/>
      <c r="L997" s="16"/>
      <c r="M997" s="16"/>
      <c r="N997" s="16"/>
      <c r="O997" s="16"/>
      <c r="P997" s="16"/>
      <c r="Q997" s="16"/>
      <c r="R997" s="16"/>
      <c r="S997" s="16"/>
      <c r="T997" s="16"/>
      <c r="U997" s="16"/>
      <c r="V997" s="16"/>
      <c r="W997" s="16"/>
    </row>
    <row r="998" customFormat="false" ht="14.25" hidden="false" customHeight="true" outlineLevel="0" collapsed="false">
      <c r="A998" s="16"/>
      <c r="B998" s="16"/>
      <c r="C998" s="16"/>
      <c r="D998" s="16"/>
      <c r="E998" s="16"/>
      <c r="F998" s="16"/>
      <c r="G998" s="16"/>
      <c r="H998" s="16"/>
      <c r="I998" s="16"/>
      <c r="J998" s="16"/>
      <c r="K998" s="16"/>
      <c r="L998" s="16"/>
      <c r="M998" s="16"/>
      <c r="N998" s="16"/>
      <c r="O998" s="16"/>
      <c r="P998" s="16"/>
      <c r="Q998" s="16"/>
      <c r="R998" s="16"/>
      <c r="S998" s="16"/>
      <c r="T998" s="16"/>
      <c r="U998" s="16"/>
      <c r="V998" s="16"/>
      <c r="W998" s="16"/>
    </row>
    <row r="999" customFormat="false" ht="14.25" hidden="false" customHeight="true" outlineLevel="0" collapsed="false">
      <c r="A999" s="16"/>
      <c r="B999" s="16"/>
      <c r="C999" s="16"/>
      <c r="D999" s="16"/>
      <c r="E999" s="16"/>
      <c r="F999" s="16"/>
      <c r="G999" s="16"/>
      <c r="H999" s="16"/>
      <c r="I999" s="16"/>
      <c r="J999" s="16"/>
      <c r="K999" s="16"/>
      <c r="L999" s="16"/>
      <c r="M999" s="16"/>
      <c r="N999" s="16"/>
      <c r="O999" s="16"/>
      <c r="P999" s="16"/>
      <c r="Q999" s="16"/>
      <c r="R999" s="16"/>
      <c r="S999" s="16"/>
      <c r="T999" s="16"/>
      <c r="U999" s="16"/>
      <c r="V999" s="16"/>
      <c r="W999" s="16"/>
    </row>
    <row r="1000" customFormat="false" ht="14.25" hidden="false" customHeight="true" outlineLevel="0" collapsed="false">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row>
    <row r="1001" customFormat="false" ht="14.25" hidden="false" customHeight="true" outlineLevel="0" collapsed="false">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row>
    <row r="1002" customFormat="false" ht="14.25" hidden="false" customHeight="true" outlineLevel="0" collapsed="false">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row>
    <row r="1003" customFormat="false" ht="14.25" hidden="false" customHeight="true" outlineLevel="0" collapsed="false">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row>
    <row r="1004" customFormat="false" ht="14.25" hidden="false" customHeight="true" outlineLevel="0" collapsed="false">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row>
    <row r="1005" customFormat="false" ht="14.25" hidden="false" customHeight="true" outlineLevel="0" collapsed="false">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row>
    <row r="1006" customFormat="false" ht="14.25" hidden="false" customHeight="true" outlineLevel="0" collapsed="false">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row>
    <row r="1007" customFormat="false" ht="14.25" hidden="false" customHeight="true" outlineLevel="0" collapsed="false">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row>
    <row r="1008" customFormat="false" ht="14.25" hidden="false" customHeight="true" outlineLevel="0" collapsed="false">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row>
    <row r="1009" customFormat="false" ht="14.25" hidden="false" customHeight="true" outlineLevel="0" collapsed="false">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row>
    <row r="1010" customFormat="false" ht="14.25" hidden="false" customHeight="true" outlineLevel="0" collapsed="false">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row>
    <row r="1011" customFormat="false" ht="14.25" hidden="false" customHeight="true" outlineLevel="0" collapsed="false">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row>
    <row r="1012" customFormat="false" ht="14.25" hidden="false" customHeight="true" outlineLevel="0" collapsed="false">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row>
    <row r="1013" customFormat="false" ht="14.25" hidden="false" customHeight="true" outlineLevel="0" collapsed="false">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row>
    <row r="1014" customFormat="false" ht="14.25" hidden="false" customHeight="true" outlineLevel="0" collapsed="false">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row>
    <row r="1015" customFormat="false" ht="14.25" hidden="false" customHeight="true" outlineLevel="0" collapsed="false">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row>
    <row r="1016" customFormat="false" ht="14.25" hidden="false" customHeight="true" outlineLevel="0" collapsed="false">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row>
    <row r="1017" customFormat="false" ht="14.25" hidden="false" customHeight="true" outlineLevel="0" collapsed="false">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row>
    <row r="1018" customFormat="false" ht="14.25" hidden="false" customHeight="true" outlineLevel="0" collapsed="false">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row>
    <row r="1019" customFormat="false" ht="14.25" hidden="false" customHeight="true" outlineLevel="0" collapsed="false">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row>
    <row r="1020" customFormat="false" ht="14.25" hidden="false" customHeight="true" outlineLevel="0" collapsed="false">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row>
    <row r="1021" customFormat="false" ht="14.25" hidden="false" customHeight="true" outlineLevel="0" collapsed="false">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row>
    <row r="1022" customFormat="false" ht="14.25" hidden="false" customHeight="true" outlineLevel="0" collapsed="false">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row>
    <row r="1023" customFormat="false" ht="14.25" hidden="false" customHeight="true" outlineLevel="0" collapsed="false">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row>
    <row r="1024" customFormat="false" ht="14.25" hidden="false" customHeight="true" outlineLevel="0" collapsed="false">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row>
    <row r="1025" customFormat="false" ht="14.25" hidden="false" customHeight="true" outlineLevel="0" collapsed="false">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row>
    <row r="1026" customFormat="false" ht="14.25" hidden="false" customHeight="true" outlineLevel="0" collapsed="false">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row>
    <row r="1027" customFormat="false" ht="14.25" hidden="false" customHeight="true" outlineLevel="0" collapsed="false">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row>
    <row r="1028" customFormat="false" ht="14.25" hidden="false" customHeight="true" outlineLevel="0" collapsed="false">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row>
    <row r="1029" customFormat="false" ht="14.25" hidden="false" customHeight="true" outlineLevel="0" collapsed="false">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row>
    <row r="1030" customFormat="false" ht="14.25" hidden="false" customHeight="true" outlineLevel="0" collapsed="false">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row>
    <row r="1031" customFormat="false" ht="14.25" hidden="false" customHeight="true" outlineLevel="0" collapsed="false">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row>
    <row r="1032" customFormat="false" ht="14.25" hidden="false" customHeight="true" outlineLevel="0" collapsed="false">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row>
    <row r="1033" customFormat="false" ht="14.25" hidden="false" customHeight="true" outlineLevel="0" collapsed="false">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row>
    <row r="1034" customFormat="false" ht="14.25" hidden="false" customHeight="true" outlineLevel="0" collapsed="false">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row>
    <row r="1035" customFormat="false" ht="14.25" hidden="false" customHeight="true" outlineLevel="0" collapsed="false">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row>
    <row r="1036" customFormat="false" ht="14.25" hidden="false" customHeight="true" outlineLevel="0" collapsed="false">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row>
    <row r="1037" customFormat="false" ht="14.25" hidden="false" customHeight="true" outlineLevel="0" collapsed="false">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row>
    <row r="1038" customFormat="false" ht="14.25" hidden="false" customHeight="true" outlineLevel="0" collapsed="false">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row>
    <row r="1039" customFormat="false" ht="14.25" hidden="false" customHeight="true" outlineLevel="0" collapsed="false">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row>
    <row r="1040" customFormat="false" ht="14.25" hidden="false" customHeight="true" outlineLevel="0" collapsed="false">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row>
    <row r="1041" customFormat="false" ht="14.25" hidden="false" customHeight="true" outlineLevel="0" collapsed="false">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row>
    <row r="1042" customFormat="false" ht="14.25" hidden="false" customHeight="true" outlineLevel="0" collapsed="false">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row>
    <row r="1043" customFormat="false" ht="14.25" hidden="false" customHeight="true" outlineLevel="0" collapsed="false">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row>
    <row r="1044" customFormat="false" ht="14.25" hidden="false" customHeight="true" outlineLevel="0" collapsed="false">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row>
    <row r="1045" customFormat="false" ht="14.25" hidden="false" customHeight="true" outlineLevel="0" collapsed="false">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row>
    <row r="1046" customFormat="false" ht="14.25" hidden="false" customHeight="true" outlineLevel="0" collapsed="false">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row>
    <row r="1047" customFormat="false" ht="14.25" hidden="false" customHeight="true" outlineLevel="0" collapsed="false">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row>
    <row r="1048" customFormat="false" ht="14.25" hidden="false" customHeight="true" outlineLevel="0" collapsed="false">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row>
    <row r="1049" customFormat="false" ht="14.25" hidden="false" customHeight="true" outlineLevel="0" collapsed="false">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row>
    <row r="1050" customFormat="false" ht="14.25" hidden="false" customHeight="true" outlineLevel="0" collapsed="false">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row>
    <row r="1051" customFormat="false" ht="14.25" hidden="false" customHeight="true" outlineLevel="0" collapsed="false">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row>
    <row r="1052" customFormat="false" ht="14.25" hidden="false" customHeight="true" outlineLevel="0" collapsed="false">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row>
    <row r="1053" customFormat="false" ht="14.25" hidden="false" customHeight="true" outlineLevel="0" collapsed="false">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row>
    <row r="1054" customFormat="false" ht="14.25" hidden="false" customHeight="true" outlineLevel="0" collapsed="false">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row>
    <row r="1055" customFormat="false" ht="14.25" hidden="false" customHeight="true" outlineLevel="0" collapsed="false">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row>
    <row r="1056" customFormat="false" ht="14.25" hidden="false" customHeight="true" outlineLevel="0" collapsed="false">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row>
    <row r="1057" customFormat="false" ht="14.25" hidden="false" customHeight="true" outlineLevel="0" collapsed="false">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row>
    <row r="1058" customFormat="false" ht="14.25" hidden="false" customHeight="true" outlineLevel="0" collapsed="false">
      <c r="A1058" s="16"/>
      <c r="B1058" s="16"/>
      <c r="C1058" s="16"/>
      <c r="D1058" s="16"/>
      <c r="E1058" s="16"/>
      <c r="F1058" s="16"/>
      <c r="G1058" s="16"/>
      <c r="H1058" s="16"/>
      <c r="I1058" s="16"/>
      <c r="J1058" s="16"/>
      <c r="K1058" s="16"/>
      <c r="L1058" s="16"/>
      <c r="M1058" s="16"/>
      <c r="N1058" s="16"/>
      <c r="O1058" s="16"/>
      <c r="P1058" s="16"/>
      <c r="Q1058" s="16"/>
      <c r="R1058" s="16"/>
      <c r="S1058" s="16"/>
      <c r="T1058" s="16"/>
      <c r="U1058" s="16"/>
      <c r="V1058" s="16"/>
      <c r="W1058" s="16"/>
    </row>
    <row r="1059" customFormat="false" ht="14.25" hidden="false" customHeight="true" outlineLevel="0" collapsed="false">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row>
    <row r="1060" customFormat="false" ht="14.25" hidden="false" customHeight="true" outlineLevel="0" collapsed="false">
      <c r="A1060" s="16"/>
      <c r="B1060" s="16"/>
      <c r="C1060" s="16"/>
      <c r="D1060" s="16"/>
      <c r="E1060" s="16"/>
      <c r="F1060" s="16"/>
      <c r="G1060" s="16"/>
      <c r="H1060" s="16"/>
      <c r="I1060" s="16"/>
      <c r="J1060" s="16"/>
      <c r="K1060" s="16"/>
      <c r="L1060" s="16"/>
      <c r="M1060" s="16"/>
      <c r="N1060" s="16"/>
      <c r="O1060" s="16"/>
      <c r="P1060" s="16"/>
      <c r="Q1060" s="16"/>
      <c r="R1060" s="16"/>
      <c r="S1060" s="16"/>
      <c r="T1060" s="16"/>
      <c r="U1060" s="16"/>
      <c r="V1060" s="16"/>
      <c r="W1060" s="16"/>
    </row>
    <row r="1061" customFormat="false" ht="14.25" hidden="false" customHeight="true" outlineLevel="0" collapsed="false">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row>
    <row r="1062" customFormat="false" ht="14.25" hidden="false" customHeight="true" outlineLevel="0" collapsed="false">
      <c r="A1062" s="16"/>
      <c r="B1062" s="16"/>
      <c r="C1062" s="16"/>
      <c r="D1062" s="16"/>
      <c r="E1062" s="16"/>
      <c r="F1062" s="16"/>
      <c r="G1062" s="16"/>
      <c r="H1062" s="16"/>
      <c r="I1062" s="16"/>
      <c r="J1062" s="16"/>
      <c r="K1062" s="16"/>
      <c r="L1062" s="16"/>
      <c r="M1062" s="16"/>
      <c r="N1062" s="16"/>
      <c r="O1062" s="16"/>
      <c r="P1062" s="16"/>
      <c r="Q1062" s="16"/>
      <c r="R1062" s="16"/>
      <c r="S1062" s="16"/>
      <c r="T1062" s="16"/>
      <c r="U1062" s="16"/>
      <c r="V1062" s="16"/>
      <c r="W1062" s="16"/>
    </row>
    <row r="1063" customFormat="false" ht="14.25" hidden="false" customHeight="true" outlineLevel="0" collapsed="false">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row>
    <row r="1064" customFormat="false" ht="14.25" hidden="false" customHeight="true" outlineLevel="0" collapsed="false">
      <c r="A1064" s="16"/>
      <c r="B1064" s="16"/>
      <c r="C1064" s="16"/>
      <c r="D1064" s="16"/>
      <c r="E1064" s="16"/>
      <c r="F1064" s="16"/>
      <c r="G1064" s="16"/>
      <c r="H1064" s="16"/>
      <c r="I1064" s="16"/>
      <c r="J1064" s="16"/>
      <c r="K1064" s="16"/>
      <c r="L1064" s="16"/>
      <c r="M1064" s="16"/>
      <c r="N1064" s="16"/>
      <c r="O1064" s="16"/>
      <c r="P1064" s="16"/>
      <c r="Q1064" s="16"/>
      <c r="R1064" s="16"/>
      <c r="S1064" s="16"/>
      <c r="T1064" s="16"/>
      <c r="U1064" s="16"/>
      <c r="V1064" s="16"/>
      <c r="W1064" s="16"/>
    </row>
    <row r="1065" customFormat="false" ht="14.25" hidden="false" customHeight="true" outlineLevel="0" collapsed="false">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row>
    <row r="1066" customFormat="false" ht="14.25" hidden="false" customHeight="true" outlineLevel="0" collapsed="false">
      <c r="A1066" s="16"/>
      <c r="B1066" s="16"/>
      <c r="C1066" s="16"/>
      <c r="D1066" s="16"/>
      <c r="E1066" s="16"/>
      <c r="F1066" s="16"/>
      <c r="G1066" s="16"/>
      <c r="H1066" s="16"/>
      <c r="I1066" s="16"/>
      <c r="J1066" s="16"/>
      <c r="K1066" s="16"/>
      <c r="L1066" s="16"/>
      <c r="M1066" s="16"/>
      <c r="N1066" s="16"/>
      <c r="O1066" s="16"/>
      <c r="P1066" s="16"/>
      <c r="Q1066" s="16"/>
      <c r="R1066" s="16"/>
      <c r="S1066" s="16"/>
      <c r="T1066" s="16"/>
      <c r="U1066" s="16"/>
      <c r="V1066" s="16"/>
      <c r="W1066" s="16"/>
    </row>
    <row r="1067" customFormat="false" ht="14.25" hidden="false" customHeight="true" outlineLevel="0" collapsed="false">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row>
    <row r="1068" customFormat="false" ht="14.25" hidden="false" customHeight="true" outlineLevel="0" collapsed="false">
      <c r="A1068" s="16"/>
      <c r="B1068" s="16"/>
      <c r="C1068" s="16"/>
      <c r="D1068" s="16"/>
      <c r="E1068" s="16"/>
      <c r="F1068" s="16"/>
      <c r="G1068" s="16"/>
      <c r="H1068" s="16"/>
      <c r="I1068" s="16"/>
      <c r="J1068" s="16"/>
      <c r="K1068" s="16"/>
      <c r="L1068" s="16"/>
      <c r="M1068" s="16"/>
      <c r="N1068" s="16"/>
      <c r="O1068" s="16"/>
      <c r="P1068" s="16"/>
      <c r="Q1068" s="16"/>
      <c r="R1068" s="16"/>
      <c r="S1068" s="16"/>
      <c r="T1068" s="16"/>
      <c r="U1068" s="16"/>
      <c r="V1068" s="16"/>
      <c r="W1068" s="16"/>
    </row>
    <row r="1069" customFormat="false" ht="14.25" hidden="false" customHeight="true" outlineLevel="0" collapsed="false">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row>
    <row r="1070" customFormat="false" ht="14.25" hidden="false" customHeight="true" outlineLevel="0" collapsed="false">
      <c r="A1070" s="16"/>
      <c r="B1070" s="16"/>
      <c r="C1070" s="16"/>
      <c r="D1070" s="16"/>
      <c r="E1070" s="16"/>
      <c r="F1070" s="16"/>
      <c r="G1070" s="16"/>
      <c r="H1070" s="16"/>
      <c r="I1070" s="16"/>
      <c r="J1070" s="16"/>
      <c r="K1070" s="16"/>
      <c r="L1070" s="16"/>
      <c r="M1070" s="16"/>
      <c r="N1070" s="16"/>
      <c r="O1070" s="16"/>
      <c r="P1070" s="16"/>
      <c r="Q1070" s="16"/>
      <c r="R1070" s="16"/>
      <c r="S1070" s="16"/>
      <c r="T1070" s="16"/>
      <c r="U1070" s="16"/>
      <c r="V1070" s="16"/>
      <c r="W1070" s="16"/>
    </row>
    <row r="1071" customFormat="false" ht="14.25" hidden="false" customHeight="true" outlineLevel="0" collapsed="false">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row>
    <row r="1072" customFormat="false" ht="14.25" hidden="false" customHeight="true" outlineLevel="0" collapsed="false">
      <c r="A1072" s="16"/>
      <c r="B1072" s="16"/>
      <c r="C1072" s="16"/>
      <c r="D1072" s="16"/>
      <c r="E1072" s="16"/>
      <c r="F1072" s="16"/>
      <c r="G1072" s="16"/>
      <c r="H1072" s="16"/>
      <c r="I1072" s="16"/>
      <c r="J1072" s="16"/>
      <c r="K1072" s="16"/>
      <c r="L1072" s="16"/>
      <c r="M1072" s="16"/>
      <c r="N1072" s="16"/>
      <c r="O1072" s="16"/>
      <c r="P1072" s="16"/>
      <c r="Q1072" s="16"/>
      <c r="R1072" s="16"/>
      <c r="S1072" s="16"/>
      <c r="T1072" s="16"/>
      <c r="U1072" s="16"/>
      <c r="V1072" s="16"/>
      <c r="W1072" s="16"/>
    </row>
    <row r="1073" customFormat="false" ht="14.25" hidden="false" customHeight="true" outlineLevel="0" collapsed="false">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row>
    <row r="1074" customFormat="false" ht="14.25" hidden="false" customHeight="true" outlineLevel="0" collapsed="false">
      <c r="A1074" s="16"/>
      <c r="B1074" s="16"/>
      <c r="C1074" s="16"/>
      <c r="D1074" s="16"/>
      <c r="E1074" s="16"/>
      <c r="F1074" s="16"/>
      <c r="G1074" s="16"/>
      <c r="H1074" s="16"/>
      <c r="I1074" s="16"/>
      <c r="J1074" s="16"/>
      <c r="K1074" s="16"/>
      <c r="L1074" s="16"/>
      <c r="M1074" s="16"/>
      <c r="N1074" s="16"/>
      <c r="O1074" s="16"/>
      <c r="P1074" s="16"/>
      <c r="Q1074" s="16"/>
      <c r="R1074" s="16"/>
      <c r="S1074" s="16"/>
      <c r="T1074" s="16"/>
      <c r="U1074" s="16"/>
      <c r="V1074" s="16"/>
      <c r="W1074" s="16"/>
    </row>
    <row r="1075" customFormat="false" ht="14.25" hidden="false" customHeight="true" outlineLevel="0" collapsed="false">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row>
    <row r="1076" customFormat="false" ht="14.25" hidden="false" customHeight="true" outlineLevel="0" collapsed="false">
      <c r="A1076" s="16"/>
      <c r="B1076" s="16"/>
      <c r="C1076" s="16"/>
      <c r="D1076" s="16"/>
      <c r="E1076" s="16"/>
      <c r="F1076" s="16"/>
      <c r="G1076" s="16"/>
      <c r="H1076" s="16"/>
      <c r="I1076" s="16"/>
      <c r="J1076" s="16"/>
      <c r="K1076" s="16"/>
      <c r="L1076" s="16"/>
      <c r="M1076" s="16"/>
      <c r="N1076" s="16"/>
      <c r="O1076" s="16"/>
      <c r="P1076" s="16"/>
      <c r="Q1076" s="16"/>
      <c r="R1076" s="16"/>
      <c r="S1076" s="16"/>
      <c r="T1076" s="16"/>
      <c r="U1076" s="16"/>
      <c r="V1076" s="16"/>
      <c r="W1076" s="16"/>
    </row>
    <row r="1077" customFormat="false" ht="14.25" hidden="false" customHeight="true" outlineLevel="0" collapsed="false">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row>
    <row r="1078" customFormat="false" ht="14.25" hidden="false" customHeight="true" outlineLevel="0" collapsed="false">
      <c r="A1078" s="16"/>
      <c r="B1078" s="16"/>
      <c r="C1078" s="16"/>
      <c r="D1078" s="16"/>
      <c r="E1078" s="16"/>
      <c r="F1078" s="16"/>
      <c r="G1078" s="16"/>
      <c r="H1078" s="16"/>
      <c r="I1078" s="16"/>
      <c r="J1078" s="16"/>
      <c r="K1078" s="16"/>
      <c r="L1078" s="16"/>
      <c r="M1078" s="16"/>
      <c r="N1078" s="16"/>
      <c r="O1078" s="16"/>
      <c r="P1078" s="16"/>
      <c r="Q1078" s="16"/>
      <c r="R1078" s="16"/>
      <c r="S1078" s="16"/>
      <c r="T1078" s="16"/>
      <c r="U1078" s="16"/>
      <c r="V1078" s="16"/>
      <c r="W1078" s="16"/>
    </row>
    <row r="1079" customFormat="false" ht="14.25" hidden="false" customHeight="true" outlineLevel="0" collapsed="false">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row>
    <row r="1080" customFormat="false" ht="14.25" hidden="false" customHeight="true" outlineLevel="0" collapsed="false">
      <c r="A1080" s="16"/>
      <c r="B1080" s="16"/>
      <c r="C1080" s="16"/>
      <c r="D1080" s="16"/>
      <c r="E1080" s="16"/>
      <c r="F1080" s="16"/>
      <c r="G1080" s="16"/>
      <c r="H1080" s="16"/>
      <c r="I1080" s="16"/>
      <c r="J1080" s="16"/>
      <c r="K1080" s="16"/>
      <c r="L1080" s="16"/>
      <c r="M1080" s="16"/>
      <c r="N1080" s="16"/>
      <c r="O1080" s="16"/>
      <c r="P1080" s="16"/>
      <c r="Q1080" s="16"/>
      <c r="R1080" s="16"/>
      <c r="S1080" s="16"/>
      <c r="T1080" s="16"/>
      <c r="U1080" s="16"/>
      <c r="V1080" s="16"/>
      <c r="W1080" s="16"/>
    </row>
    <row r="1081" customFormat="false" ht="14.25" hidden="false" customHeight="true" outlineLevel="0" collapsed="false">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row>
    <row r="1082" customFormat="false" ht="14.25" hidden="false" customHeight="true" outlineLevel="0" collapsed="false">
      <c r="A1082" s="16"/>
      <c r="B1082" s="16"/>
      <c r="C1082" s="16"/>
      <c r="D1082" s="16"/>
      <c r="E1082" s="16"/>
      <c r="F1082" s="16"/>
      <c r="G1082" s="16"/>
      <c r="H1082" s="16"/>
      <c r="I1082" s="16"/>
      <c r="J1082" s="16"/>
      <c r="K1082" s="16"/>
      <c r="L1082" s="16"/>
      <c r="M1082" s="16"/>
      <c r="N1082" s="16"/>
      <c r="O1082" s="16"/>
      <c r="P1082" s="16"/>
      <c r="Q1082" s="16"/>
      <c r="R1082" s="16"/>
      <c r="S1082" s="16"/>
      <c r="T1082" s="16"/>
      <c r="U1082" s="16"/>
      <c r="V1082" s="16"/>
      <c r="W1082" s="16"/>
    </row>
    <row r="1083" customFormat="false" ht="14.25" hidden="false" customHeight="true" outlineLevel="0" collapsed="false">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row>
    <row r="1084" customFormat="false" ht="14.25" hidden="false" customHeight="true" outlineLevel="0" collapsed="false">
      <c r="A1084" s="16"/>
      <c r="B1084" s="16"/>
      <c r="C1084" s="16"/>
      <c r="D1084" s="16"/>
      <c r="E1084" s="16"/>
      <c r="F1084" s="16"/>
      <c r="G1084" s="16"/>
      <c r="H1084" s="16"/>
      <c r="I1084" s="16"/>
      <c r="J1084" s="16"/>
      <c r="K1084" s="16"/>
      <c r="L1084" s="16"/>
      <c r="M1084" s="16"/>
      <c r="N1084" s="16"/>
      <c r="O1084" s="16"/>
      <c r="P1084" s="16"/>
      <c r="Q1084" s="16"/>
      <c r="R1084" s="16"/>
      <c r="S1084" s="16"/>
      <c r="T1084" s="16"/>
      <c r="U1084" s="16"/>
      <c r="V1084" s="16"/>
      <c r="W1084" s="16"/>
    </row>
    <row r="1085" customFormat="false" ht="14.25" hidden="false" customHeight="true" outlineLevel="0" collapsed="false">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row>
    <row r="1086" customFormat="false" ht="14.25" hidden="false" customHeight="true" outlineLevel="0" collapsed="false">
      <c r="A1086" s="16"/>
      <c r="B1086" s="16"/>
      <c r="C1086" s="16"/>
      <c r="D1086" s="16"/>
      <c r="E1086" s="16"/>
      <c r="F1086" s="16"/>
      <c r="G1086" s="16"/>
      <c r="H1086" s="16"/>
      <c r="I1086" s="16"/>
      <c r="J1086" s="16"/>
      <c r="K1086" s="16"/>
      <c r="L1086" s="16"/>
      <c r="M1086" s="16"/>
      <c r="N1086" s="16"/>
      <c r="O1086" s="16"/>
      <c r="P1086" s="16"/>
      <c r="Q1086" s="16"/>
      <c r="R1086" s="16"/>
      <c r="S1086" s="16"/>
      <c r="T1086" s="16"/>
      <c r="U1086" s="16"/>
      <c r="V1086" s="16"/>
      <c r="W1086" s="16"/>
    </row>
    <row r="1087" customFormat="false" ht="14.25" hidden="false" customHeight="true" outlineLevel="0" collapsed="false">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row>
    <row r="1088" customFormat="false" ht="14.25" hidden="false" customHeight="true" outlineLevel="0" collapsed="false">
      <c r="A1088" s="16"/>
      <c r="B1088" s="16"/>
      <c r="C1088" s="16"/>
      <c r="D1088" s="16"/>
      <c r="E1088" s="16"/>
      <c r="F1088" s="16"/>
      <c r="G1088" s="16"/>
      <c r="H1088" s="16"/>
      <c r="I1088" s="16"/>
      <c r="J1088" s="16"/>
      <c r="K1088" s="16"/>
      <c r="L1088" s="16"/>
      <c r="M1088" s="16"/>
      <c r="N1088" s="16"/>
      <c r="O1088" s="16"/>
      <c r="P1088" s="16"/>
      <c r="Q1088" s="16"/>
      <c r="R1088" s="16"/>
      <c r="S1088" s="16"/>
      <c r="T1088" s="16"/>
      <c r="U1088" s="16"/>
      <c r="V1088" s="16"/>
      <c r="W1088" s="16"/>
    </row>
    <row r="1089" customFormat="false" ht="14.25" hidden="false" customHeight="true" outlineLevel="0" collapsed="false">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row>
    <row r="1090" customFormat="false" ht="14.25" hidden="false" customHeight="true" outlineLevel="0" collapsed="false">
      <c r="A1090" s="16"/>
      <c r="B1090" s="16"/>
      <c r="C1090" s="16"/>
      <c r="D1090" s="16"/>
      <c r="E1090" s="16"/>
      <c r="F1090" s="16"/>
      <c r="G1090" s="16"/>
      <c r="H1090" s="16"/>
      <c r="I1090" s="16"/>
      <c r="J1090" s="16"/>
      <c r="K1090" s="16"/>
      <c r="L1090" s="16"/>
      <c r="M1090" s="16"/>
      <c r="N1090" s="16"/>
      <c r="O1090" s="16"/>
      <c r="P1090" s="16"/>
      <c r="Q1090" s="16"/>
      <c r="R1090" s="16"/>
      <c r="S1090" s="16"/>
      <c r="T1090" s="16"/>
      <c r="U1090" s="16"/>
      <c r="V1090" s="16"/>
      <c r="W1090" s="16"/>
    </row>
    <row r="1091" customFormat="false" ht="14.25" hidden="false" customHeight="true" outlineLevel="0" collapsed="false">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row>
    <row r="1092" customFormat="false" ht="14.25" hidden="false" customHeight="true" outlineLevel="0" collapsed="false">
      <c r="A1092" s="16"/>
      <c r="B1092" s="16"/>
      <c r="C1092" s="16"/>
      <c r="D1092" s="16"/>
      <c r="E1092" s="16"/>
      <c r="F1092" s="16"/>
      <c r="G1092" s="16"/>
      <c r="H1092" s="16"/>
      <c r="I1092" s="16"/>
      <c r="J1092" s="16"/>
      <c r="K1092" s="16"/>
      <c r="L1092" s="16"/>
      <c r="M1092" s="16"/>
      <c r="N1092" s="16"/>
      <c r="O1092" s="16"/>
      <c r="P1092" s="16"/>
      <c r="Q1092" s="16"/>
      <c r="R1092" s="16"/>
      <c r="S1092" s="16"/>
      <c r="T1092" s="16"/>
      <c r="U1092" s="16"/>
      <c r="V1092" s="16"/>
      <c r="W1092" s="16"/>
    </row>
    <row r="1093" customFormat="false" ht="14.25" hidden="false" customHeight="true" outlineLevel="0" collapsed="false">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row>
    <row r="1094" customFormat="false" ht="14.25" hidden="false" customHeight="true" outlineLevel="0" collapsed="false">
      <c r="A1094" s="16"/>
      <c r="B1094" s="16"/>
      <c r="C1094" s="16"/>
      <c r="D1094" s="16"/>
      <c r="E1094" s="16"/>
      <c r="F1094" s="16"/>
      <c r="G1094" s="16"/>
      <c r="H1094" s="16"/>
      <c r="I1094" s="16"/>
      <c r="J1094" s="16"/>
      <c r="K1094" s="16"/>
      <c r="L1094" s="16"/>
      <c r="M1094" s="16"/>
      <c r="N1094" s="16"/>
      <c r="O1094" s="16"/>
      <c r="P1094" s="16"/>
      <c r="Q1094" s="16"/>
      <c r="R1094" s="16"/>
      <c r="S1094" s="16"/>
      <c r="T1094" s="16"/>
      <c r="U1094" s="16"/>
      <c r="V1094" s="16"/>
      <c r="W1094" s="16"/>
    </row>
    <row r="1095" customFormat="false" ht="14.25" hidden="false" customHeight="true" outlineLevel="0" collapsed="false">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row>
    <row r="1096" customFormat="false" ht="14.25" hidden="false" customHeight="true" outlineLevel="0" collapsed="false">
      <c r="A1096" s="16"/>
      <c r="B1096" s="16"/>
      <c r="C1096" s="16"/>
      <c r="D1096" s="16"/>
      <c r="E1096" s="16"/>
      <c r="F1096" s="16"/>
      <c r="G1096" s="16"/>
      <c r="H1096" s="16"/>
      <c r="I1096" s="16"/>
      <c r="J1096" s="16"/>
      <c r="K1096" s="16"/>
      <c r="L1096" s="16"/>
      <c r="M1096" s="16"/>
      <c r="N1096" s="16"/>
      <c r="O1096" s="16"/>
      <c r="P1096" s="16"/>
      <c r="Q1096" s="16"/>
      <c r="R1096" s="16"/>
      <c r="S1096" s="16"/>
      <c r="T1096" s="16"/>
      <c r="U1096" s="16"/>
      <c r="V1096" s="16"/>
      <c r="W1096" s="16"/>
    </row>
    <row r="1097" customFormat="false" ht="14.25" hidden="false" customHeight="true" outlineLevel="0" collapsed="false">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row>
    <row r="1098" customFormat="false" ht="14.25" hidden="false" customHeight="true" outlineLevel="0" collapsed="false">
      <c r="A1098" s="16"/>
      <c r="B1098" s="16"/>
      <c r="C1098" s="16"/>
      <c r="D1098" s="16"/>
      <c r="E1098" s="16"/>
      <c r="F1098" s="16"/>
      <c r="G1098" s="16"/>
      <c r="H1098" s="16"/>
      <c r="I1098" s="16"/>
      <c r="J1098" s="16"/>
      <c r="K1098" s="16"/>
      <c r="L1098" s="16"/>
      <c r="M1098" s="16"/>
      <c r="N1098" s="16"/>
      <c r="O1098" s="16"/>
      <c r="P1098" s="16"/>
      <c r="Q1098" s="16"/>
      <c r="R1098" s="16"/>
      <c r="S1098" s="16"/>
      <c r="T1098" s="16"/>
      <c r="U1098" s="16"/>
      <c r="V1098" s="16"/>
      <c r="W1098" s="16"/>
    </row>
    <row r="1099" customFormat="false" ht="14.25" hidden="false" customHeight="true" outlineLevel="0" collapsed="false">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row>
    <row r="1100" customFormat="false" ht="14.25" hidden="false" customHeight="true" outlineLevel="0" collapsed="false">
      <c r="A1100" s="16"/>
      <c r="B1100" s="16"/>
      <c r="C1100" s="16"/>
      <c r="D1100" s="16"/>
      <c r="E1100" s="16"/>
      <c r="F1100" s="16"/>
      <c r="G1100" s="16"/>
      <c r="H1100" s="16"/>
      <c r="I1100" s="16"/>
      <c r="J1100" s="16"/>
      <c r="K1100" s="16"/>
      <c r="L1100" s="16"/>
      <c r="M1100" s="16"/>
      <c r="N1100" s="16"/>
      <c r="O1100" s="16"/>
      <c r="P1100" s="16"/>
      <c r="Q1100" s="16"/>
      <c r="R1100" s="16"/>
      <c r="S1100" s="16"/>
      <c r="T1100" s="16"/>
      <c r="U1100" s="16"/>
      <c r="V1100" s="16"/>
      <c r="W1100" s="16"/>
    </row>
    <row r="1101" customFormat="false" ht="14.25" hidden="false" customHeight="true" outlineLevel="0" collapsed="false">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row>
    <row r="1102" customFormat="false" ht="14.25" hidden="false" customHeight="true" outlineLevel="0" collapsed="false">
      <c r="A1102" s="16"/>
      <c r="B1102" s="16"/>
      <c r="C1102" s="16"/>
      <c r="D1102" s="16"/>
      <c r="E1102" s="16"/>
      <c r="F1102" s="16"/>
      <c r="G1102" s="16"/>
      <c r="H1102" s="16"/>
      <c r="I1102" s="16"/>
      <c r="J1102" s="16"/>
      <c r="K1102" s="16"/>
      <c r="L1102" s="16"/>
      <c r="M1102" s="16"/>
      <c r="N1102" s="16"/>
      <c r="O1102" s="16"/>
      <c r="P1102" s="16"/>
      <c r="Q1102" s="16"/>
      <c r="R1102" s="16"/>
      <c r="S1102" s="16"/>
      <c r="T1102" s="16"/>
      <c r="U1102" s="16"/>
      <c r="V1102" s="16"/>
      <c r="W1102" s="16"/>
    </row>
    <row r="1103" customFormat="false" ht="14.25" hidden="false" customHeight="true" outlineLevel="0" collapsed="false">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row>
    <row r="1104" customFormat="false" ht="14.25" hidden="false" customHeight="true" outlineLevel="0" collapsed="false">
      <c r="A1104" s="16"/>
      <c r="B1104" s="16"/>
      <c r="C1104" s="16"/>
      <c r="D1104" s="16"/>
      <c r="E1104" s="16"/>
      <c r="F1104" s="16"/>
      <c r="G1104" s="16"/>
      <c r="H1104" s="16"/>
      <c r="I1104" s="16"/>
      <c r="J1104" s="16"/>
      <c r="K1104" s="16"/>
      <c r="L1104" s="16"/>
      <c r="M1104" s="16"/>
      <c r="N1104" s="16"/>
      <c r="O1104" s="16"/>
      <c r="P1104" s="16"/>
      <c r="Q1104" s="16"/>
      <c r="R1104" s="16"/>
      <c r="S1104" s="16"/>
      <c r="T1104" s="16"/>
      <c r="U1104" s="16"/>
      <c r="V1104" s="16"/>
      <c r="W1104" s="16"/>
    </row>
    <row r="1105" customFormat="false" ht="14.25" hidden="false" customHeight="true" outlineLevel="0" collapsed="false">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row>
    <row r="1106" customFormat="false" ht="14.25" hidden="false" customHeight="true" outlineLevel="0" collapsed="false">
      <c r="A1106" s="16"/>
      <c r="B1106" s="16"/>
      <c r="C1106" s="16"/>
      <c r="D1106" s="16"/>
      <c r="E1106" s="16"/>
      <c r="F1106" s="16"/>
      <c r="G1106" s="16"/>
      <c r="H1106" s="16"/>
      <c r="I1106" s="16"/>
      <c r="J1106" s="16"/>
      <c r="K1106" s="16"/>
      <c r="L1106" s="16"/>
      <c r="M1106" s="16"/>
      <c r="N1106" s="16"/>
      <c r="O1106" s="16"/>
      <c r="P1106" s="16"/>
      <c r="Q1106" s="16"/>
      <c r="R1106" s="16"/>
      <c r="S1106" s="16"/>
      <c r="T1106" s="16"/>
      <c r="U1106" s="16"/>
      <c r="V1106" s="16"/>
      <c r="W1106" s="16"/>
    </row>
    <row r="1107" customFormat="false" ht="14.25" hidden="false" customHeight="true" outlineLevel="0" collapsed="false">
      <c r="A1107" s="16"/>
      <c r="B1107" s="16"/>
      <c r="C1107" s="16"/>
      <c r="D1107" s="16"/>
      <c r="E1107" s="16"/>
      <c r="F1107" s="16"/>
      <c r="G1107" s="16"/>
      <c r="H1107" s="16"/>
      <c r="I1107" s="16"/>
      <c r="J1107" s="16"/>
      <c r="K1107" s="16"/>
      <c r="L1107" s="16"/>
      <c r="M1107" s="16"/>
      <c r="N1107" s="16"/>
      <c r="O1107" s="16"/>
      <c r="P1107" s="16"/>
      <c r="Q1107" s="16"/>
      <c r="R1107" s="16"/>
      <c r="S1107" s="16"/>
      <c r="T1107" s="16"/>
      <c r="U1107" s="16"/>
      <c r="V1107" s="16"/>
      <c r="W1107" s="16"/>
    </row>
    <row r="1108" customFormat="false" ht="14.25" hidden="false" customHeight="true" outlineLevel="0" collapsed="false">
      <c r="A1108" s="16"/>
      <c r="B1108" s="16"/>
      <c r="C1108" s="16"/>
      <c r="D1108" s="16"/>
      <c r="E1108" s="16"/>
      <c r="F1108" s="16"/>
      <c r="G1108" s="16"/>
      <c r="H1108" s="16"/>
      <c r="I1108" s="16"/>
      <c r="J1108" s="16"/>
      <c r="K1108" s="16"/>
      <c r="L1108" s="16"/>
      <c r="M1108" s="16"/>
      <c r="N1108" s="16"/>
      <c r="O1108" s="16"/>
      <c r="P1108" s="16"/>
      <c r="Q1108" s="16"/>
      <c r="R1108" s="16"/>
      <c r="S1108" s="16"/>
      <c r="T1108" s="16"/>
      <c r="U1108" s="16"/>
      <c r="V1108" s="16"/>
      <c r="W1108" s="16"/>
    </row>
    <row r="1109" customFormat="false" ht="14.25" hidden="false" customHeight="true" outlineLevel="0" collapsed="false">
      <c r="A1109" s="16"/>
      <c r="B1109" s="16"/>
      <c r="C1109" s="16"/>
      <c r="D1109" s="16"/>
      <c r="E1109" s="16"/>
      <c r="F1109" s="16"/>
      <c r="G1109" s="16"/>
      <c r="H1109" s="16"/>
      <c r="I1109" s="16"/>
      <c r="J1109" s="16"/>
      <c r="K1109" s="16"/>
      <c r="L1109" s="16"/>
      <c r="M1109" s="16"/>
      <c r="N1109" s="16"/>
      <c r="O1109" s="16"/>
      <c r="P1109" s="16"/>
      <c r="Q1109" s="16"/>
      <c r="R1109" s="16"/>
      <c r="S1109" s="16"/>
      <c r="T1109" s="16"/>
      <c r="U1109" s="16"/>
      <c r="V1109" s="16"/>
      <c r="W1109" s="16"/>
    </row>
    <row r="1110" customFormat="false" ht="14.25" hidden="false" customHeight="true" outlineLevel="0" collapsed="false">
      <c r="A1110" s="16"/>
      <c r="B1110" s="16"/>
      <c r="C1110" s="16"/>
      <c r="D1110" s="16"/>
      <c r="E1110" s="16"/>
      <c r="F1110" s="16"/>
      <c r="G1110" s="16"/>
      <c r="H1110" s="16"/>
      <c r="I1110" s="16"/>
      <c r="J1110" s="16"/>
      <c r="K1110" s="16"/>
      <c r="L1110" s="16"/>
      <c r="M1110" s="16"/>
      <c r="N1110" s="16"/>
      <c r="O1110" s="16"/>
      <c r="P1110" s="16"/>
      <c r="Q1110" s="16"/>
      <c r="R1110" s="16"/>
      <c r="S1110" s="16"/>
      <c r="T1110" s="16"/>
      <c r="U1110" s="16"/>
      <c r="V1110" s="16"/>
      <c r="W1110" s="16"/>
    </row>
    <row r="1111" customFormat="false" ht="14.25" hidden="false" customHeight="true" outlineLevel="0" collapsed="false">
      <c r="A1111" s="16"/>
      <c r="B1111" s="16"/>
      <c r="C1111" s="16"/>
      <c r="D1111" s="16"/>
      <c r="E1111" s="16"/>
      <c r="F1111" s="16"/>
      <c r="G1111" s="16"/>
      <c r="H1111" s="16"/>
      <c r="I1111" s="16"/>
      <c r="J1111" s="16"/>
      <c r="K1111" s="16"/>
      <c r="L1111" s="16"/>
      <c r="M1111" s="16"/>
      <c r="N1111" s="16"/>
      <c r="O1111" s="16"/>
      <c r="P1111" s="16"/>
      <c r="Q1111" s="16"/>
      <c r="R1111" s="16"/>
      <c r="S1111" s="16"/>
      <c r="T1111" s="16"/>
      <c r="U1111" s="16"/>
      <c r="V1111" s="16"/>
      <c r="W1111" s="16"/>
    </row>
    <row r="1112" customFormat="false" ht="14.25" hidden="false" customHeight="true" outlineLevel="0" collapsed="false">
      <c r="A1112" s="16"/>
      <c r="B1112" s="16"/>
      <c r="C1112" s="16"/>
      <c r="D1112" s="16"/>
      <c r="E1112" s="16"/>
      <c r="F1112" s="16"/>
      <c r="G1112" s="16"/>
      <c r="H1112" s="16"/>
      <c r="I1112" s="16"/>
      <c r="J1112" s="16"/>
      <c r="K1112" s="16"/>
      <c r="L1112" s="16"/>
      <c r="M1112" s="16"/>
      <c r="N1112" s="16"/>
      <c r="O1112" s="16"/>
      <c r="P1112" s="16"/>
      <c r="Q1112" s="16"/>
      <c r="R1112" s="16"/>
      <c r="S1112" s="16"/>
      <c r="T1112" s="16"/>
      <c r="U1112" s="16"/>
      <c r="V1112" s="16"/>
      <c r="W1112" s="16"/>
    </row>
    <row r="1113" customFormat="false" ht="14.25" hidden="false" customHeight="true" outlineLevel="0" collapsed="false">
      <c r="A1113" s="16"/>
      <c r="B1113" s="16"/>
      <c r="C1113" s="16"/>
      <c r="D1113" s="16"/>
      <c r="E1113" s="16"/>
      <c r="F1113" s="16"/>
      <c r="G1113" s="16"/>
      <c r="H1113" s="16"/>
      <c r="I1113" s="16"/>
      <c r="J1113" s="16"/>
      <c r="K1113" s="16"/>
      <c r="L1113" s="16"/>
      <c r="M1113" s="16"/>
      <c r="N1113" s="16"/>
      <c r="O1113" s="16"/>
      <c r="P1113" s="16"/>
      <c r="Q1113" s="16"/>
      <c r="R1113" s="16"/>
      <c r="S1113" s="16"/>
      <c r="T1113" s="16"/>
      <c r="U1113" s="16"/>
      <c r="V1113" s="16"/>
      <c r="W1113" s="16"/>
    </row>
    <row r="1114" customFormat="false" ht="14.25" hidden="false" customHeight="true" outlineLevel="0" collapsed="false">
      <c r="A1114" s="16"/>
      <c r="B1114" s="16"/>
      <c r="C1114" s="16"/>
      <c r="D1114" s="16"/>
      <c r="E1114" s="16"/>
      <c r="F1114" s="16"/>
      <c r="G1114" s="16"/>
      <c r="H1114" s="16"/>
      <c r="I1114" s="16"/>
      <c r="J1114" s="16"/>
      <c r="K1114" s="16"/>
      <c r="L1114" s="16"/>
      <c r="M1114" s="16"/>
      <c r="N1114" s="16"/>
      <c r="O1114" s="16"/>
      <c r="P1114" s="16"/>
      <c r="Q1114" s="16"/>
      <c r="R1114" s="16"/>
      <c r="S1114" s="16"/>
      <c r="T1114" s="16"/>
      <c r="U1114" s="16"/>
      <c r="V1114" s="16"/>
      <c r="W1114" s="16"/>
    </row>
    <row r="1115" customFormat="false" ht="14.25" hidden="false" customHeight="true" outlineLevel="0" collapsed="false">
      <c r="A1115" s="16"/>
      <c r="B1115" s="16"/>
      <c r="C1115" s="16"/>
      <c r="D1115" s="16"/>
      <c r="E1115" s="16"/>
      <c r="F1115" s="16"/>
      <c r="G1115" s="16"/>
      <c r="H1115" s="16"/>
      <c r="I1115" s="16"/>
      <c r="J1115" s="16"/>
      <c r="K1115" s="16"/>
      <c r="L1115" s="16"/>
      <c r="M1115" s="16"/>
      <c r="N1115" s="16"/>
      <c r="O1115" s="16"/>
      <c r="P1115" s="16"/>
      <c r="Q1115" s="16"/>
      <c r="R1115" s="16"/>
      <c r="S1115" s="16"/>
      <c r="T1115" s="16"/>
      <c r="U1115" s="16"/>
      <c r="V1115" s="16"/>
      <c r="W1115" s="16"/>
    </row>
    <row r="1116" customFormat="false" ht="14.25" hidden="false" customHeight="true" outlineLevel="0" collapsed="false">
      <c r="A1116" s="16"/>
      <c r="B1116" s="16"/>
      <c r="C1116" s="16"/>
      <c r="D1116" s="16"/>
      <c r="E1116" s="16"/>
      <c r="F1116" s="16"/>
      <c r="G1116" s="16"/>
      <c r="H1116" s="16"/>
      <c r="I1116" s="16"/>
      <c r="J1116" s="16"/>
      <c r="K1116" s="16"/>
      <c r="L1116" s="16"/>
      <c r="M1116" s="16"/>
      <c r="N1116" s="16"/>
      <c r="O1116" s="16"/>
      <c r="P1116" s="16"/>
      <c r="Q1116" s="16"/>
      <c r="R1116" s="16"/>
      <c r="S1116" s="16"/>
      <c r="T1116" s="16"/>
      <c r="U1116" s="16"/>
      <c r="V1116" s="16"/>
      <c r="W1116" s="16"/>
    </row>
    <row r="1117" customFormat="false" ht="14.25" hidden="false" customHeight="true" outlineLevel="0" collapsed="false">
      <c r="A1117" s="16"/>
      <c r="B1117" s="16"/>
      <c r="C1117" s="16"/>
      <c r="D1117" s="16"/>
      <c r="E1117" s="16"/>
      <c r="F1117" s="16"/>
      <c r="G1117" s="16"/>
      <c r="H1117" s="16"/>
      <c r="I1117" s="16"/>
      <c r="J1117" s="16"/>
      <c r="K1117" s="16"/>
      <c r="L1117" s="16"/>
      <c r="M1117" s="16"/>
      <c r="N1117" s="16"/>
      <c r="O1117" s="16"/>
      <c r="P1117" s="16"/>
      <c r="Q1117" s="16"/>
      <c r="R1117" s="16"/>
      <c r="S1117" s="16"/>
      <c r="T1117" s="16"/>
      <c r="U1117" s="16"/>
      <c r="V1117" s="16"/>
      <c r="W1117" s="16"/>
    </row>
    <row r="1118" customFormat="false" ht="14.25" hidden="false" customHeight="true" outlineLevel="0" collapsed="false">
      <c r="A1118" s="16"/>
      <c r="B1118" s="16"/>
      <c r="C1118" s="16"/>
      <c r="D1118" s="16"/>
      <c r="E1118" s="16"/>
      <c r="F1118" s="16"/>
      <c r="G1118" s="16"/>
      <c r="H1118" s="16"/>
      <c r="I1118" s="16"/>
      <c r="J1118" s="16"/>
      <c r="K1118" s="16"/>
      <c r="L1118" s="16"/>
      <c r="M1118" s="16"/>
      <c r="N1118" s="16"/>
      <c r="O1118" s="16"/>
      <c r="P1118" s="16"/>
      <c r="Q1118" s="16"/>
      <c r="R1118" s="16"/>
      <c r="S1118" s="16"/>
      <c r="T1118" s="16"/>
      <c r="U1118" s="16"/>
      <c r="V1118" s="16"/>
      <c r="W1118" s="16"/>
    </row>
    <row r="1119" customFormat="false" ht="14.25" hidden="false" customHeight="true" outlineLevel="0" collapsed="false">
      <c r="A1119" s="16"/>
      <c r="B1119" s="16"/>
      <c r="C1119" s="16"/>
      <c r="D1119" s="16"/>
      <c r="E1119" s="16"/>
      <c r="F1119" s="16"/>
      <c r="G1119" s="16"/>
      <c r="H1119" s="16"/>
      <c r="I1119" s="16"/>
      <c r="J1119" s="16"/>
      <c r="K1119" s="16"/>
      <c r="L1119" s="16"/>
      <c r="M1119" s="16"/>
      <c r="N1119" s="16"/>
      <c r="O1119" s="16"/>
      <c r="P1119" s="16"/>
      <c r="Q1119" s="16"/>
      <c r="R1119" s="16"/>
      <c r="S1119" s="16"/>
      <c r="T1119" s="16"/>
      <c r="U1119" s="16"/>
      <c r="V1119" s="16"/>
      <c r="W1119" s="16"/>
    </row>
    <row r="1120" customFormat="false" ht="14.25" hidden="false" customHeight="true" outlineLevel="0" collapsed="false">
      <c r="A1120" s="16"/>
      <c r="B1120" s="16"/>
      <c r="C1120" s="16"/>
      <c r="D1120" s="16"/>
      <c r="E1120" s="16"/>
      <c r="F1120" s="16"/>
      <c r="G1120" s="16"/>
      <c r="H1120" s="16"/>
      <c r="I1120" s="16"/>
      <c r="J1120" s="16"/>
      <c r="K1120" s="16"/>
      <c r="L1120" s="16"/>
      <c r="M1120" s="16"/>
      <c r="N1120" s="16"/>
      <c r="O1120" s="16"/>
      <c r="P1120" s="16"/>
      <c r="Q1120" s="16"/>
      <c r="R1120" s="16"/>
      <c r="S1120" s="16"/>
      <c r="T1120" s="16"/>
      <c r="U1120" s="16"/>
      <c r="V1120" s="16"/>
      <c r="W1120" s="16"/>
    </row>
    <row r="1121" customFormat="false" ht="14.25" hidden="false" customHeight="true" outlineLevel="0" collapsed="false">
      <c r="A1121" s="16"/>
      <c r="B1121" s="16"/>
      <c r="C1121" s="16"/>
      <c r="D1121" s="16"/>
      <c r="E1121" s="16"/>
      <c r="F1121" s="16"/>
      <c r="G1121" s="16"/>
      <c r="H1121" s="16"/>
      <c r="I1121" s="16"/>
      <c r="J1121" s="16"/>
      <c r="K1121" s="16"/>
      <c r="L1121" s="16"/>
      <c r="M1121" s="16"/>
      <c r="N1121" s="16"/>
      <c r="O1121" s="16"/>
      <c r="P1121" s="16"/>
      <c r="Q1121" s="16"/>
      <c r="R1121" s="16"/>
      <c r="S1121" s="16"/>
      <c r="T1121" s="16"/>
      <c r="U1121" s="16"/>
      <c r="V1121" s="16"/>
      <c r="W1121" s="16"/>
    </row>
    <row r="1122" customFormat="false" ht="14.25" hidden="false" customHeight="true" outlineLevel="0" collapsed="false">
      <c r="A1122" s="16"/>
      <c r="B1122" s="16"/>
      <c r="C1122" s="16"/>
      <c r="D1122" s="16"/>
      <c r="E1122" s="16"/>
      <c r="F1122" s="16"/>
      <c r="G1122" s="16"/>
      <c r="H1122" s="16"/>
      <c r="I1122" s="16"/>
      <c r="J1122" s="16"/>
      <c r="K1122" s="16"/>
      <c r="L1122" s="16"/>
      <c r="M1122" s="16"/>
      <c r="N1122" s="16"/>
      <c r="O1122" s="16"/>
      <c r="P1122" s="16"/>
      <c r="Q1122" s="16"/>
      <c r="R1122" s="16"/>
      <c r="S1122" s="16"/>
      <c r="T1122" s="16"/>
      <c r="U1122" s="16"/>
      <c r="V1122" s="16"/>
      <c r="W1122" s="16"/>
    </row>
    <row r="1123" customFormat="false" ht="14.25" hidden="false" customHeight="true" outlineLevel="0" collapsed="false">
      <c r="A1123" s="16"/>
      <c r="B1123" s="16"/>
      <c r="C1123" s="16"/>
      <c r="D1123" s="16"/>
      <c r="E1123" s="16"/>
      <c r="F1123" s="16"/>
      <c r="G1123" s="16"/>
      <c r="H1123" s="16"/>
      <c r="I1123" s="16"/>
      <c r="J1123" s="16"/>
      <c r="K1123" s="16"/>
      <c r="L1123" s="16"/>
      <c r="M1123" s="16"/>
      <c r="N1123" s="16"/>
      <c r="O1123" s="16"/>
      <c r="P1123" s="16"/>
      <c r="Q1123" s="16"/>
      <c r="R1123" s="16"/>
      <c r="S1123" s="16"/>
      <c r="T1123" s="16"/>
      <c r="U1123" s="16"/>
      <c r="V1123" s="16"/>
      <c r="W1123" s="16"/>
    </row>
    <row r="1124" customFormat="false" ht="14.25" hidden="false" customHeight="true" outlineLevel="0" collapsed="false">
      <c r="A1124" s="16"/>
      <c r="B1124" s="16"/>
      <c r="C1124" s="16"/>
      <c r="D1124" s="16"/>
      <c r="E1124" s="16"/>
      <c r="F1124" s="16"/>
      <c r="G1124" s="16"/>
      <c r="H1124" s="16"/>
      <c r="I1124" s="16"/>
      <c r="J1124" s="16"/>
      <c r="K1124" s="16"/>
      <c r="L1124" s="16"/>
      <c r="M1124" s="16"/>
      <c r="N1124" s="16"/>
      <c r="O1124" s="16"/>
      <c r="P1124" s="16"/>
      <c r="Q1124" s="16"/>
      <c r="R1124" s="16"/>
      <c r="S1124" s="16"/>
      <c r="T1124" s="16"/>
      <c r="U1124" s="16"/>
      <c r="V1124" s="16"/>
      <c r="W1124" s="16"/>
    </row>
    <row r="1125" customFormat="false" ht="14.25" hidden="false" customHeight="true" outlineLevel="0" collapsed="false">
      <c r="A1125" s="16"/>
      <c r="B1125" s="16"/>
      <c r="C1125" s="16"/>
      <c r="D1125" s="16"/>
      <c r="E1125" s="16"/>
      <c r="F1125" s="16"/>
      <c r="G1125" s="16"/>
      <c r="H1125" s="16"/>
      <c r="I1125" s="16"/>
      <c r="J1125" s="16"/>
      <c r="K1125" s="16"/>
      <c r="L1125" s="16"/>
      <c r="M1125" s="16"/>
      <c r="N1125" s="16"/>
      <c r="O1125" s="16"/>
      <c r="P1125" s="16"/>
      <c r="Q1125" s="16"/>
      <c r="R1125" s="16"/>
      <c r="S1125" s="16"/>
      <c r="T1125" s="16"/>
      <c r="U1125" s="16"/>
      <c r="V1125" s="16"/>
      <c r="W1125" s="16"/>
    </row>
    <row r="1126" customFormat="false" ht="14.25" hidden="false" customHeight="true" outlineLevel="0" collapsed="false">
      <c r="A1126" s="16"/>
      <c r="B1126" s="16"/>
      <c r="C1126" s="16"/>
      <c r="D1126" s="16"/>
      <c r="E1126" s="16"/>
      <c r="F1126" s="16"/>
      <c r="G1126" s="16"/>
      <c r="H1126" s="16"/>
      <c r="I1126" s="16"/>
      <c r="J1126" s="16"/>
      <c r="K1126" s="16"/>
      <c r="L1126" s="16"/>
      <c r="M1126" s="16"/>
      <c r="N1126" s="16"/>
      <c r="O1126" s="16"/>
      <c r="P1126" s="16"/>
      <c r="Q1126" s="16"/>
      <c r="R1126" s="16"/>
      <c r="S1126" s="16"/>
      <c r="T1126" s="16"/>
      <c r="U1126" s="16"/>
      <c r="V1126" s="16"/>
      <c r="W1126" s="16"/>
    </row>
    <row r="1127" customFormat="false" ht="14.25" hidden="false" customHeight="true" outlineLevel="0" collapsed="false">
      <c r="A1127" s="16"/>
      <c r="B1127" s="16"/>
      <c r="C1127" s="16"/>
      <c r="D1127" s="16"/>
      <c r="E1127" s="16"/>
      <c r="F1127" s="16"/>
      <c r="G1127" s="16"/>
      <c r="H1127" s="16"/>
      <c r="I1127" s="16"/>
      <c r="J1127" s="16"/>
      <c r="K1127" s="16"/>
      <c r="L1127" s="16"/>
      <c r="M1127" s="16"/>
      <c r="N1127" s="16"/>
      <c r="O1127" s="16"/>
      <c r="P1127" s="16"/>
      <c r="Q1127" s="16"/>
      <c r="R1127" s="16"/>
      <c r="S1127" s="16"/>
      <c r="T1127" s="16"/>
      <c r="U1127" s="16"/>
      <c r="V1127" s="16"/>
      <c r="W1127" s="16"/>
    </row>
    <row r="1128" customFormat="false" ht="14.25" hidden="false" customHeight="true" outlineLevel="0" collapsed="false">
      <c r="A1128" s="16"/>
      <c r="B1128" s="16"/>
      <c r="C1128" s="16"/>
      <c r="D1128" s="16"/>
      <c r="E1128" s="16"/>
      <c r="F1128" s="16"/>
      <c r="G1128" s="16"/>
      <c r="H1128" s="16"/>
      <c r="I1128" s="16"/>
      <c r="J1128" s="16"/>
      <c r="K1128" s="16"/>
      <c r="L1128" s="16"/>
      <c r="M1128" s="16"/>
      <c r="N1128" s="16"/>
      <c r="O1128" s="16"/>
      <c r="P1128" s="16"/>
      <c r="Q1128" s="16"/>
      <c r="R1128" s="16"/>
      <c r="S1128" s="16"/>
      <c r="T1128" s="16"/>
      <c r="U1128" s="16"/>
      <c r="V1128" s="16"/>
      <c r="W1128" s="16"/>
    </row>
    <row r="1129" customFormat="false" ht="14.25" hidden="false" customHeight="true" outlineLevel="0" collapsed="false">
      <c r="A1129" s="16"/>
      <c r="B1129" s="16"/>
      <c r="C1129" s="16"/>
      <c r="D1129" s="16"/>
      <c r="E1129" s="16"/>
      <c r="F1129" s="16"/>
      <c r="G1129" s="16"/>
      <c r="H1129" s="16"/>
      <c r="I1129" s="16"/>
      <c r="J1129" s="16"/>
      <c r="K1129" s="16"/>
      <c r="L1129" s="16"/>
      <c r="M1129" s="16"/>
      <c r="N1129" s="16"/>
      <c r="O1129" s="16"/>
      <c r="P1129" s="16"/>
      <c r="Q1129" s="16"/>
      <c r="R1129" s="16"/>
      <c r="S1129" s="16"/>
      <c r="T1129" s="16"/>
      <c r="U1129" s="16"/>
      <c r="V1129" s="16"/>
      <c r="W1129" s="16"/>
    </row>
    <row r="1130" customFormat="false" ht="14.25" hidden="false" customHeight="true" outlineLevel="0" collapsed="false">
      <c r="A1130" s="16"/>
      <c r="B1130" s="16"/>
      <c r="C1130" s="16"/>
      <c r="D1130" s="16"/>
      <c r="E1130" s="16"/>
      <c r="F1130" s="16"/>
      <c r="G1130" s="16"/>
      <c r="H1130" s="16"/>
      <c r="I1130" s="16"/>
      <c r="J1130" s="16"/>
      <c r="K1130" s="16"/>
      <c r="L1130" s="16"/>
      <c r="M1130" s="16"/>
      <c r="N1130" s="16"/>
      <c r="O1130" s="16"/>
      <c r="P1130" s="16"/>
      <c r="Q1130" s="16"/>
      <c r="R1130" s="16"/>
      <c r="S1130" s="16"/>
      <c r="T1130" s="16"/>
      <c r="U1130" s="16"/>
      <c r="V1130" s="16"/>
      <c r="W1130" s="16"/>
    </row>
    <row r="1131" customFormat="false" ht="14.25" hidden="false" customHeight="true" outlineLevel="0" collapsed="false">
      <c r="A1131" s="16"/>
      <c r="B1131" s="16"/>
      <c r="C1131" s="16"/>
      <c r="D1131" s="16"/>
      <c r="E1131" s="16"/>
      <c r="F1131" s="16"/>
      <c r="G1131" s="16"/>
      <c r="H1131" s="16"/>
      <c r="I1131" s="16"/>
      <c r="J1131" s="16"/>
      <c r="K1131" s="16"/>
      <c r="L1131" s="16"/>
      <c r="M1131" s="16"/>
      <c r="N1131" s="16"/>
      <c r="O1131" s="16"/>
      <c r="P1131" s="16"/>
      <c r="Q1131" s="16"/>
      <c r="R1131" s="16"/>
      <c r="S1131" s="16"/>
      <c r="T1131" s="16"/>
      <c r="U1131" s="16"/>
      <c r="V1131" s="16"/>
      <c r="W1131" s="16"/>
    </row>
    <row r="1132" customFormat="false" ht="14.25" hidden="false" customHeight="true" outlineLevel="0" collapsed="false">
      <c r="A1132" s="16"/>
      <c r="B1132" s="16"/>
      <c r="C1132" s="16"/>
      <c r="D1132" s="16"/>
      <c r="E1132" s="16"/>
      <c r="F1132" s="16"/>
      <c r="G1132" s="16"/>
      <c r="H1132" s="16"/>
      <c r="I1132" s="16"/>
      <c r="J1132" s="16"/>
      <c r="K1132" s="16"/>
      <c r="L1132" s="16"/>
      <c r="M1132" s="16"/>
      <c r="N1132" s="16"/>
      <c r="O1132" s="16"/>
      <c r="P1132" s="16"/>
      <c r="Q1132" s="16"/>
      <c r="R1132" s="16"/>
      <c r="S1132" s="16"/>
      <c r="T1132" s="16"/>
      <c r="U1132" s="16"/>
      <c r="V1132" s="16"/>
      <c r="W1132" s="16"/>
    </row>
    <row r="1133" customFormat="false" ht="14.25" hidden="false" customHeight="true" outlineLevel="0" collapsed="false">
      <c r="A1133" s="16"/>
      <c r="B1133" s="16"/>
      <c r="C1133" s="16"/>
      <c r="D1133" s="16"/>
      <c r="E1133" s="16"/>
      <c r="F1133" s="16"/>
      <c r="G1133" s="16"/>
      <c r="H1133" s="16"/>
      <c r="I1133" s="16"/>
      <c r="J1133" s="16"/>
      <c r="K1133" s="16"/>
      <c r="L1133" s="16"/>
      <c r="M1133" s="16"/>
      <c r="N1133" s="16"/>
      <c r="O1133" s="16"/>
      <c r="P1133" s="16"/>
      <c r="Q1133" s="16"/>
      <c r="R1133" s="16"/>
      <c r="S1133" s="16"/>
      <c r="T1133" s="16"/>
      <c r="U1133" s="16"/>
      <c r="V1133" s="16"/>
      <c r="W1133" s="16"/>
    </row>
    <row r="1134" customFormat="false" ht="14.25" hidden="false" customHeight="true" outlineLevel="0" collapsed="false">
      <c r="A1134" s="16"/>
      <c r="B1134" s="16"/>
      <c r="C1134" s="16"/>
      <c r="D1134" s="16"/>
      <c r="E1134" s="16"/>
      <c r="F1134" s="16"/>
      <c r="G1134" s="16"/>
      <c r="H1134" s="16"/>
      <c r="I1134" s="16"/>
      <c r="J1134" s="16"/>
      <c r="K1134" s="16"/>
      <c r="L1134" s="16"/>
      <c r="M1134" s="16"/>
      <c r="N1134" s="16"/>
      <c r="O1134" s="16"/>
      <c r="P1134" s="16"/>
      <c r="Q1134" s="16"/>
      <c r="R1134" s="16"/>
      <c r="S1134" s="16"/>
      <c r="T1134" s="16"/>
      <c r="U1134" s="16"/>
      <c r="V1134" s="16"/>
      <c r="W1134" s="16"/>
    </row>
    <row r="1135" customFormat="false" ht="14.25" hidden="false" customHeight="true" outlineLevel="0" collapsed="false">
      <c r="A1135" s="16"/>
      <c r="B1135" s="16"/>
      <c r="C1135" s="16"/>
      <c r="D1135" s="16"/>
      <c r="E1135" s="16"/>
      <c r="F1135" s="16"/>
      <c r="G1135" s="16"/>
      <c r="H1135" s="16"/>
      <c r="I1135" s="16"/>
      <c r="J1135" s="16"/>
      <c r="K1135" s="16"/>
      <c r="L1135" s="16"/>
      <c r="M1135" s="16"/>
      <c r="N1135" s="16"/>
      <c r="O1135" s="16"/>
      <c r="P1135" s="16"/>
      <c r="Q1135" s="16"/>
      <c r="R1135" s="16"/>
      <c r="S1135" s="16"/>
      <c r="T1135" s="16"/>
      <c r="U1135" s="16"/>
      <c r="V1135" s="16"/>
      <c r="W1135" s="16"/>
    </row>
    <row r="1136" customFormat="false" ht="14.25" hidden="false" customHeight="true" outlineLevel="0" collapsed="false">
      <c r="A1136" s="16"/>
      <c r="B1136" s="16"/>
      <c r="C1136" s="16"/>
      <c r="D1136" s="16"/>
      <c r="E1136" s="16"/>
      <c r="F1136" s="16"/>
      <c r="G1136" s="16"/>
      <c r="H1136" s="16"/>
      <c r="I1136" s="16"/>
      <c r="J1136" s="16"/>
      <c r="K1136" s="16"/>
      <c r="L1136" s="16"/>
      <c r="M1136" s="16"/>
      <c r="N1136" s="16"/>
      <c r="O1136" s="16"/>
      <c r="P1136" s="16"/>
      <c r="Q1136" s="16"/>
      <c r="R1136" s="16"/>
      <c r="S1136" s="16"/>
      <c r="T1136" s="16"/>
      <c r="U1136" s="16"/>
      <c r="V1136" s="16"/>
      <c r="W1136" s="16"/>
    </row>
    <row r="1137" customFormat="false" ht="14.25" hidden="false" customHeight="true" outlineLevel="0" collapsed="false">
      <c r="A1137" s="16"/>
      <c r="B1137" s="16"/>
      <c r="C1137" s="16"/>
      <c r="D1137" s="16"/>
      <c r="E1137" s="16"/>
      <c r="F1137" s="16"/>
      <c r="G1137" s="16"/>
      <c r="H1137" s="16"/>
      <c r="I1137" s="16"/>
      <c r="J1137" s="16"/>
      <c r="K1137" s="16"/>
      <c r="L1137" s="16"/>
      <c r="M1137" s="16"/>
      <c r="N1137" s="16"/>
      <c r="O1137" s="16"/>
      <c r="P1137" s="16"/>
      <c r="Q1137" s="16"/>
      <c r="R1137" s="16"/>
      <c r="S1137" s="16"/>
      <c r="T1137" s="16"/>
      <c r="U1137" s="16"/>
      <c r="V1137" s="16"/>
      <c r="W1137" s="16"/>
    </row>
    <row r="1138" customFormat="false" ht="14.25" hidden="false" customHeight="true" outlineLevel="0" collapsed="false">
      <c r="A1138" s="16"/>
      <c r="B1138" s="16"/>
      <c r="C1138" s="16"/>
      <c r="D1138" s="16"/>
      <c r="E1138" s="16"/>
      <c r="F1138" s="16"/>
      <c r="G1138" s="16"/>
      <c r="H1138" s="16"/>
      <c r="I1138" s="16"/>
      <c r="J1138" s="16"/>
      <c r="K1138" s="16"/>
      <c r="L1138" s="16"/>
      <c r="M1138" s="16"/>
      <c r="N1138" s="16"/>
      <c r="O1138" s="16"/>
      <c r="P1138" s="16"/>
      <c r="Q1138" s="16"/>
      <c r="R1138" s="16"/>
      <c r="S1138" s="16"/>
      <c r="T1138" s="16"/>
      <c r="U1138" s="16"/>
      <c r="V1138" s="16"/>
      <c r="W1138" s="16"/>
    </row>
    <row r="1139" customFormat="false" ht="14.25" hidden="false" customHeight="true" outlineLevel="0" collapsed="false">
      <c r="A1139" s="16"/>
      <c r="B1139" s="16"/>
      <c r="C1139" s="16"/>
      <c r="D1139" s="16"/>
      <c r="E1139" s="16"/>
      <c r="F1139" s="16"/>
      <c r="G1139" s="16"/>
      <c r="H1139" s="16"/>
      <c r="I1139" s="16"/>
      <c r="J1139" s="16"/>
      <c r="K1139" s="16"/>
      <c r="L1139" s="16"/>
      <c r="M1139" s="16"/>
      <c r="N1139" s="16"/>
      <c r="O1139" s="16"/>
      <c r="P1139" s="16"/>
      <c r="Q1139" s="16"/>
      <c r="R1139" s="16"/>
      <c r="S1139" s="16"/>
      <c r="T1139" s="16"/>
      <c r="U1139" s="16"/>
      <c r="V1139" s="16"/>
      <c r="W1139" s="16"/>
    </row>
    <row r="1140" customFormat="false" ht="14.25" hidden="false" customHeight="true" outlineLevel="0" collapsed="false">
      <c r="A1140" s="16"/>
      <c r="B1140" s="16"/>
      <c r="C1140" s="16"/>
      <c r="D1140" s="16"/>
      <c r="E1140" s="16"/>
      <c r="F1140" s="16"/>
      <c r="G1140" s="16"/>
      <c r="H1140" s="16"/>
      <c r="I1140" s="16"/>
      <c r="J1140" s="16"/>
      <c r="K1140" s="16"/>
      <c r="L1140" s="16"/>
      <c r="M1140" s="16"/>
      <c r="N1140" s="16"/>
      <c r="O1140" s="16"/>
      <c r="P1140" s="16"/>
      <c r="Q1140" s="16"/>
      <c r="R1140" s="16"/>
      <c r="S1140" s="16"/>
      <c r="T1140" s="16"/>
      <c r="U1140" s="16"/>
      <c r="V1140" s="16"/>
      <c r="W1140" s="16"/>
    </row>
    <row r="1141" customFormat="false" ht="14.25" hidden="false" customHeight="true" outlineLevel="0" collapsed="false">
      <c r="A1141" s="16"/>
      <c r="B1141" s="16"/>
      <c r="C1141" s="16"/>
      <c r="D1141" s="16"/>
      <c r="E1141" s="16"/>
      <c r="F1141" s="16"/>
      <c r="G1141" s="16"/>
      <c r="H1141" s="16"/>
      <c r="I1141" s="16"/>
      <c r="J1141" s="16"/>
      <c r="K1141" s="16"/>
      <c r="L1141" s="16"/>
      <c r="M1141" s="16"/>
      <c r="N1141" s="16"/>
      <c r="O1141" s="16"/>
      <c r="P1141" s="16"/>
      <c r="Q1141" s="16"/>
      <c r="R1141" s="16"/>
      <c r="S1141" s="16"/>
      <c r="T1141" s="16"/>
      <c r="U1141" s="16"/>
      <c r="V1141" s="16"/>
      <c r="W1141" s="16"/>
    </row>
    <row r="1142" customFormat="false" ht="14.25" hidden="false" customHeight="true" outlineLevel="0" collapsed="false">
      <c r="A1142" s="16"/>
      <c r="B1142" s="16"/>
      <c r="C1142" s="16"/>
      <c r="D1142" s="16"/>
      <c r="E1142" s="16"/>
      <c r="F1142" s="16"/>
      <c r="G1142" s="16"/>
      <c r="H1142" s="16"/>
      <c r="I1142" s="16"/>
      <c r="J1142" s="16"/>
      <c r="K1142" s="16"/>
      <c r="L1142" s="16"/>
      <c r="M1142" s="16"/>
      <c r="N1142" s="16"/>
      <c r="O1142" s="16"/>
      <c r="P1142" s="16"/>
      <c r="Q1142" s="16"/>
      <c r="R1142" s="16"/>
      <c r="S1142" s="16"/>
      <c r="T1142" s="16"/>
      <c r="U1142" s="16"/>
      <c r="V1142" s="16"/>
      <c r="W1142" s="16"/>
    </row>
    <row r="1143" customFormat="false" ht="14.25" hidden="false" customHeight="true" outlineLevel="0" collapsed="false">
      <c r="A1143" s="16"/>
      <c r="B1143" s="16"/>
      <c r="C1143" s="16"/>
      <c r="D1143" s="16"/>
      <c r="E1143" s="16"/>
      <c r="F1143" s="16"/>
      <c r="G1143" s="16"/>
      <c r="H1143" s="16"/>
      <c r="I1143" s="16"/>
      <c r="J1143" s="16"/>
      <c r="K1143" s="16"/>
      <c r="L1143" s="16"/>
      <c r="M1143" s="16"/>
      <c r="N1143" s="16"/>
      <c r="O1143" s="16"/>
      <c r="P1143" s="16"/>
      <c r="Q1143" s="16"/>
      <c r="R1143" s="16"/>
      <c r="S1143" s="16"/>
      <c r="T1143" s="16"/>
      <c r="U1143" s="16"/>
      <c r="V1143" s="16"/>
      <c r="W1143" s="16"/>
    </row>
    <row r="1144" customFormat="false" ht="14.25" hidden="false" customHeight="true" outlineLevel="0" collapsed="false">
      <c r="A1144" s="16"/>
      <c r="B1144" s="16"/>
      <c r="C1144" s="16"/>
      <c r="D1144" s="16"/>
      <c r="E1144" s="16"/>
      <c r="F1144" s="16"/>
      <c r="G1144" s="16"/>
      <c r="H1144" s="16"/>
      <c r="I1144" s="16"/>
      <c r="J1144" s="16"/>
      <c r="K1144" s="16"/>
      <c r="L1144" s="16"/>
      <c r="M1144" s="16"/>
      <c r="N1144" s="16"/>
      <c r="O1144" s="16"/>
      <c r="P1144" s="16"/>
      <c r="Q1144" s="16"/>
      <c r="R1144" s="16"/>
      <c r="S1144" s="16"/>
      <c r="T1144" s="16"/>
      <c r="U1144" s="16"/>
      <c r="V1144" s="16"/>
      <c r="W1144" s="16"/>
    </row>
    <row r="1145" customFormat="false" ht="14.25" hidden="false" customHeight="true" outlineLevel="0" collapsed="false">
      <c r="A1145" s="16"/>
      <c r="B1145" s="16"/>
      <c r="C1145" s="16"/>
      <c r="D1145" s="16"/>
      <c r="E1145" s="16"/>
      <c r="F1145" s="16"/>
      <c r="G1145" s="16"/>
      <c r="H1145" s="16"/>
      <c r="I1145" s="16"/>
      <c r="J1145" s="16"/>
      <c r="K1145" s="16"/>
      <c r="L1145" s="16"/>
      <c r="M1145" s="16"/>
      <c r="N1145" s="16"/>
      <c r="O1145" s="16"/>
      <c r="P1145" s="16"/>
      <c r="Q1145" s="16"/>
      <c r="R1145" s="16"/>
      <c r="S1145" s="16"/>
      <c r="T1145" s="16"/>
      <c r="U1145" s="16"/>
      <c r="V1145" s="16"/>
      <c r="W1145" s="16"/>
    </row>
    <row r="1146" customFormat="false" ht="14.25" hidden="false" customHeight="true" outlineLevel="0" collapsed="false">
      <c r="A1146" s="16"/>
      <c r="B1146" s="16"/>
      <c r="C1146" s="16"/>
      <c r="D1146" s="16"/>
      <c r="E1146" s="16"/>
      <c r="F1146" s="16"/>
      <c r="G1146" s="16"/>
      <c r="H1146" s="16"/>
      <c r="I1146" s="16"/>
      <c r="J1146" s="16"/>
      <c r="K1146" s="16"/>
      <c r="L1146" s="16"/>
      <c r="M1146" s="16"/>
      <c r="N1146" s="16"/>
      <c r="O1146" s="16"/>
      <c r="P1146" s="16"/>
      <c r="Q1146" s="16"/>
      <c r="R1146" s="16"/>
      <c r="S1146" s="16"/>
      <c r="T1146" s="16"/>
      <c r="U1146" s="16"/>
      <c r="V1146" s="16"/>
      <c r="W1146" s="16"/>
    </row>
    <row r="1147" customFormat="false" ht="14.25" hidden="false" customHeight="true" outlineLevel="0" collapsed="false">
      <c r="A1147" s="16"/>
      <c r="B1147" s="16"/>
      <c r="C1147" s="16"/>
      <c r="D1147" s="16"/>
      <c r="E1147" s="16"/>
      <c r="F1147" s="16"/>
      <c r="G1147" s="16"/>
      <c r="H1147" s="16"/>
      <c r="I1147" s="16"/>
      <c r="J1147" s="16"/>
      <c r="K1147" s="16"/>
      <c r="L1147" s="16"/>
      <c r="M1147" s="16"/>
      <c r="N1147" s="16"/>
      <c r="O1147" s="16"/>
      <c r="P1147" s="16"/>
      <c r="Q1147" s="16"/>
      <c r="R1147" s="16"/>
      <c r="S1147" s="16"/>
      <c r="T1147" s="16"/>
      <c r="U1147" s="16"/>
      <c r="V1147" s="16"/>
      <c r="W1147" s="16"/>
    </row>
    <row r="1148" customFormat="false" ht="14.25" hidden="false" customHeight="true" outlineLevel="0" collapsed="false">
      <c r="A1148" s="16"/>
      <c r="B1148" s="16"/>
      <c r="C1148" s="16"/>
      <c r="D1148" s="16"/>
      <c r="E1148" s="16"/>
      <c r="F1148" s="16"/>
      <c r="G1148" s="16"/>
      <c r="H1148" s="16"/>
      <c r="I1148" s="16"/>
      <c r="J1148" s="16"/>
      <c r="K1148" s="16"/>
      <c r="L1148" s="16"/>
      <c r="M1148" s="16"/>
      <c r="N1148" s="16"/>
      <c r="O1148" s="16"/>
      <c r="P1148" s="16"/>
      <c r="Q1148" s="16"/>
      <c r="R1148" s="16"/>
      <c r="S1148" s="16"/>
      <c r="T1148" s="16"/>
      <c r="U1148" s="16"/>
      <c r="V1148" s="16"/>
      <c r="W1148" s="16"/>
    </row>
    <row r="1149" customFormat="false" ht="14.25" hidden="false" customHeight="true" outlineLevel="0" collapsed="false">
      <c r="A1149" s="16"/>
      <c r="B1149" s="16"/>
      <c r="C1149" s="16"/>
      <c r="D1149" s="16"/>
      <c r="E1149" s="16"/>
      <c r="F1149" s="16"/>
      <c r="G1149" s="16"/>
      <c r="H1149" s="16"/>
      <c r="I1149" s="16"/>
      <c r="J1149" s="16"/>
      <c r="K1149" s="16"/>
      <c r="L1149" s="16"/>
      <c r="M1149" s="16"/>
      <c r="N1149" s="16"/>
      <c r="O1149" s="16"/>
      <c r="P1149" s="16"/>
      <c r="Q1149" s="16"/>
      <c r="R1149" s="16"/>
      <c r="S1149" s="16"/>
      <c r="T1149" s="16"/>
      <c r="U1149" s="16"/>
      <c r="V1149" s="16"/>
      <c r="W1149" s="16"/>
    </row>
    <row r="1150" customFormat="false" ht="14.25" hidden="false" customHeight="true" outlineLevel="0" collapsed="false">
      <c r="A1150" s="16"/>
      <c r="B1150" s="16"/>
      <c r="C1150" s="16"/>
      <c r="D1150" s="16"/>
      <c r="E1150" s="16"/>
      <c r="F1150" s="16"/>
      <c r="G1150" s="16"/>
      <c r="H1150" s="16"/>
      <c r="I1150" s="16"/>
      <c r="J1150" s="16"/>
      <c r="K1150" s="16"/>
      <c r="L1150" s="16"/>
      <c r="M1150" s="16"/>
      <c r="N1150" s="16"/>
      <c r="O1150" s="16"/>
      <c r="P1150" s="16"/>
      <c r="Q1150" s="16"/>
      <c r="R1150" s="16"/>
      <c r="S1150" s="16"/>
      <c r="T1150" s="16"/>
      <c r="U1150" s="16"/>
      <c r="V1150" s="16"/>
      <c r="W1150" s="16"/>
    </row>
    <row r="1151" customFormat="false" ht="14.25" hidden="false" customHeight="true" outlineLevel="0" collapsed="false">
      <c r="A1151" s="16"/>
      <c r="B1151" s="16"/>
      <c r="C1151" s="16"/>
      <c r="D1151" s="16"/>
      <c r="E1151" s="16"/>
      <c r="F1151" s="16"/>
      <c r="G1151" s="16"/>
      <c r="H1151" s="16"/>
      <c r="I1151" s="16"/>
      <c r="J1151" s="16"/>
      <c r="K1151" s="16"/>
      <c r="L1151" s="16"/>
      <c r="M1151" s="16"/>
      <c r="N1151" s="16"/>
      <c r="O1151" s="16"/>
      <c r="P1151" s="16"/>
      <c r="Q1151" s="16"/>
      <c r="R1151" s="16"/>
      <c r="S1151" s="16"/>
      <c r="T1151" s="16"/>
      <c r="U1151" s="16"/>
      <c r="V1151" s="16"/>
      <c r="W1151" s="16"/>
    </row>
    <row r="1152" customFormat="false" ht="14.25" hidden="false" customHeight="true" outlineLevel="0" collapsed="false">
      <c r="A1152" s="16"/>
      <c r="B1152" s="16"/>
      <c r="C1152" s="16"/>
      <c r="D1152" s="16"/>
      <c r="E1152" s="16"/>
      <c r="F1152" s="16"/>
      <c r="G1152" s="16"/>
      <c r="H1152" s="16"/>
      <c r="I1152" s="16"/>
      <c r="J1152" s="16"/>
      <c r="K1152" s="16"/>
      <c r="L1152" s="16"/>
      <c r="M1152" s="16"/>
      <c r="N1152" s="16"/>
      <c r="O1152" s="16"/>
      <c r="P1152" s="16"/>
      <c r="Q1152" s="16"/>
      <c r="R1152" s="16"/>
      <c r="S1152" s="16"/>
      <c r="T1152" s="16"/>
      <c r="U1152" s="16"/>
      <c r="V1152" s="16"/>
      <c r="W1152" s="16"/>
    </row>
    <row r="1153" customFormat="false" ht="14.25" hidden="false" customHeight="true" outlineLevel="0" collapsed="false">
      <c r="A1153" s="16"/>
      <c r="B1153" s="16"/>
      <c r="C1153" s="16"/>
      <c r="D1153" s="16"/>
      <c r="E1153" s="16"/>
      <c r="F1153" s="16"/>
      <c r="G1153" s="16"/>
      <c r="H1153" s="16"/>
      <c r="I1153" s="16"/>
      <c r="J1153" s="16"/>
      <c r="K1153" s="16"/>
      <c r="L1153" s="16"/>
      <c r="M1153" s="16"/>
      <c r="N1153" s="16"/>
      <c r="O1153" s="16"/>
      <c r="P1153" s="16"/>
      <c r="Q1153" s="16"/>
      <c r="R1153" s="16"/>
      <c r="S1153" s="16"/>
      <c r="T1153" s="16"/>
      <c r="U1153" s="16"/>
      <c r="V1153" s="16"/>
      <c r="W1153" s="16"/>
    </row>
    <row r="1154" customFormat="false" ht="14.25" hidden="false" customHeight="true" outlineLevel="0" collapsed="false">
      <c r="A1154" s="16"/>
      <c r="B1154" s="16"/>
      <c r="C1154" s="16"/>
      <c r="D1154" s="16"/>
      <c r="E1154" s="16"/>
      <c r="F1154" s="16"/>
      <c r="G1154" s="16"/>
      <c r="H1154" s="16"/>
      <c r="I1154" s="16"/>
      <c r="J1154" s="16"/>
      <c r="K1154" s="16"/>
      <c r="L1154" s="16"/>
      <c r="M1154" s="16"/>
      <c r="N1154" s="16"/>
      <c r="O1154" s="16"/>
      <c r="P1154" s="16"/>
      <c r="Q1154" s="16"/>
      <c r="R1154" s="16"/>
      <c r="S1154" s="16"/>
      <c r="T1154" s="16"/>
      <c r="U1154" s="16"/>
      <c r="V1154" s="16"/>
      <c r="W1154" s="16"/>
    </row>
    <row r="1155" customFormat="false" ht="14.25" hidden="false" customHeight="true" outlineLevel="0" collapsed="false">
      <c r="A1155" s="16"/>
      <c r="B1155" s="16"/>
      <c r="C1155" s="16"/>
      <c r="D1155" s="16"/>
      <c r="E1155" s="16"/>
      <c r="F1155" s="16"/>
      <c r="G1155" s="16"/>
      <c r="H1155" s="16"/>
      <c r="I1155" s="16"/>
      <c r="J1155" s="16"/>
      <c r="K1155" s="16"/>
      <c r="L1155" s="16"/>
      <c r="M1155" s="16"/>
      <c r="N1155" s="16"/>
      <c r="O1155" s="16"/>
      <c r="P1155" s="16"/>
      <c r="Q1155" s="16"/>
      <c r="R1155" s="16"/>
      <c r="S1155" s="16"/>
      <c r="T1155" s="16"/>
      <c r="U1155" s="16"/>
      <c r="V1155" s="16"/>
      <c r="W1155" s="16"/>
    </row>
    <row r="1156" customFormat="false" ht="14.25" hidden="false" customHeight="true" outlineLevel="0" collapsed="false">
      <c r="A1156" s="16"/>
      <c r="B1156" s="16"/>
      <c r="C1156" s="16"/>
      <c r="D1156" s="16"/>
      <c r="E1156" s="16"/>
      <c r="F1156" s="16"/>
      <c r="G1156" s="16"/>
      <c r="H1156" s="16"/>
      <c r="I1156" s="16"/>
      <c r="J1156" s="16"/>
      <c r="K1156" s="16"/>
      <c r="L1156" s="16"/>
      <c r="M1156" s="16"/>
      <c r="N1156" s="16"/>
      <c r="O1156" s="16"/>
      <c r="P1156" s="16"/>
      <c r="Q1156" s="16"/>
      <c r="R1156" s="16"/>
      <c r="S1156" s="16"/>
      <c r="T1156" s="16"/>
      <c r="U1156" s="16"/>
      <c r="V1156" s="16"/>
      <c r="W1156" s="16"/>
    </row>
    <row r="1157" customFormat="false" ht="14.25" hidden="false" customHeight="true" outlineLevel="0" collapsed="false">
      <c r="A1157" s="16"/>
      <c r="B1157" s="16"/>
      <c r="C1157" s="16"/>
      <c r="D1157" s="16"/>
      <c r="E1157" s="16"/>
      <c r="F1157" s="16"/>
      <c r="G1157" s="16"/>
      <c r="H1157" s="16"/>
      <c r="I1157" s="16"/>
      <c r="J1157" s="16"/>
      <c r="K1157" s="16"/>
      <c r="L1157" s="16"/>
      <c r="M1157" s="16"/>
      <c r="N1157" s="16"/>
      <c r="O1157" s="16"/>
      <c r="P1157" s="16"/>
      <c r="Q1157" s="16"/>
      <c r="R1157" s="16"/>
      <c r="S1157" s="16"/>
      <c r="T1157" s="16"/>
      <c r="U1157" s="16"/>
      <c r="V1157" s="16"/>
      <c r="W1157" s="16"/>
    </row>
    <row r="1158" customFormat="false" ht="14.25" hidden="false" customHeight="true" outlineLevel="0" collapsed="false">
      <c r="A1158" s="16"/>
      <c r="B1158" s="16"/>
      <c r="C1158" s="16"/>
      <c r="D1158" s="16"/>
      <c r="E1158" s="16"/>
      <c r="F1158" s="16"/>
      <c r="G1158" s="16"/>
      <c r="H1158" s="16"/>
      <c r="I1158" s="16"/>
      <c r="J1158" s="16"/>
      <c r="K1158" s="16"/>
      <c r="L1158" s="16"/>
      <c r="M1158" s="16"/>
      <c r="N1158" s="16"/>
      <c r="O1158" s="16"/>
      <c r="P1158" s="16"/>
      <c r="Q1158" s="16"/>
      <c r="R1158" s="16"/>
      <c r="S1158" s="16"/>
      <c r="T1158" s="16"/>
      <c r="U1158" s="16"/>
      <c r="V1158" s="16"/>
      <c r="W1158" s="16"/>
    </row>
    <row r="1159" customFormat="false" ht="14.25" hidden="false" customHeight="true" outlineLevel="0" collapsed="false">
      <c r="A1159" s="16"/>
      <c r="B1159" s="16"/>
      <c r="C1159" s="16"/>
      <c r="D1159" s="16"/>
      <c r="E1159" s="16"/>
      <c r="F1159" s="16"/>
      <c r="G1159" s="16"/>
      <c r="H1159" s="16"/>
      <c r="I1159" s="16"/>
      <c r="J1159" s="16"/>
      <c r="K1159" s="16"/>
      <c r="L1159" s="16"/>
      <c r="M1159" s="16"/>
      <c r="N1159" s="16"/>
      <c r="O1159" s="16"/>
      <c r="P1159" s="16"/>
      <c r="Q1159" s="16"/>
      <c r="R1159" s="16"/>
      <c r="S1159" s="16"/>
      <c r="T1159" s="16"/>
      <c r="U1159" s="16"/>
      <c r="V1159" s="16"/>
      <c r="W1159" s="16"/>
    </row>
    <row r="1160" customFormat="false" ht="14.25" hidden="false" customHeight="true" outlineLevel="0" collapsed="false">
      <c r="A1160" s="16"/>
      <c r="B1160" s="16"/>
      <c r="C1160" s="16"/>
      <c r="D1160" s="16"/>
      <c r="E1160" s="16"/>
      <c r="F1160" s="16"/>
      <c r="G1160" s="16"/>
      <c r="H1160" s="16"/>
      <c r="I1160" s="16"/>
      <c r="J1160" s="16"/>
      <c r="K1160" s="16"/>
      <c r="L1160" s="16"/>
      <c r="M1160" s="16"/>
      <c r="N1160" s="16"/>
      <c r="O1160" s="16"/>
      <c r="P1160" s="16"/>
      <c r="Q1160" s="16"/>
      <c r="R1160" s="16"/>
      <c r="S1160" s="16"/>
      <c r="T1160" s="16"/>
      <c r="U1160" s="16"/>
      <c r="V1160" s="16"/>
      <c r="W1160" s="16"/>
    </row>
    <row r="1161" customFormat="false" ht="14.25" hidden="false" customHeight="true" outlineLevel="0" collapsed="false">
      <c r="A1161" s="16"/>
      <c r="B1161" s="16"/>
      <c r="C1161" s="16"/>
      <c r="D1161" s="16"/>
      <c r="E1161" s="16"/>
      <c r="F1161" s="16"/>
      <c r="G1161" s="16"/>
      <c r="H1161" s="16"/>
      <c r="I1161" s="16"/>
      <c r="J1161" s="16"/>
      <c r="K1161" s="16"/>
      <c r="L1161" s="16"/>
      <c r="M1161" s="16"/>
      <c r="N1161" s="16"/>
      <c r="O1161" s="16"/>
      <c r="P1161" s="16"/>
      <c r="Q1161" s="16"/>
      <c r="R1161" s="16"/>
      <c r="S1161" s="16"/>
      <c r="T1161" s="16"/>
      <c r="U1161" s="16"/>
      <c r="V1161" s="16"/>
      <c r="W1161" s="16"/>
    </row>
    <row r="1162" customFormat="false" ht="14.25" hidden="false" customHeight="true" outlineLevel="0" collapsed="false">
      <c r="A1162" s="16"/>
      <c r="B1162" s="16"/>
      <c r="C1162" s="16"/>
      <c r="D1162" s="16"/>
      <c r="E1162" s="16"/>
      <c r="F1162" s="16"/>
      <c r="G1162" s="16"/>
      <c r="H1162" s="16"/>
      <c r="I1162" s="16"/>
      <c r="J1162" s="16"/>
      <c r="K1162" s="16"/>
      <c r="L1162" s="16"/>
      <c r="M1162" s="16"/>
      <c r="N1162" s="16"/>
      <c r="O1162" s="16"/>
      <c r="P1162" s="16"/>
      <c r="Q1162" s="16"/>
      <c r="R1162" s="16"/>
      <c r="S1162" s="16"/>
      <c r="T1162" s="16"/>
      <c r="U1162" s="16"/>
      <c r="V1162" s="16"/>
      <c r="W1162" s="16"/>
    </row>
    <row r="1163" customFormat="false" ht="14.25" hidden="false" customHeight="true" outlineLevel="0" collapsed="false">
      <c r="A1163" s="16"/>
      <c r="B1163" s="16"/>
      <c r="C1163" s="16"/>
      <c r="D1163" s="16"/>
      <c r="E1163" s="16"/>
      <c r="F1163" s="16"/>
      <c r="G1163" s="16"/>
      <c r="H1163" s="16"/>
      <c r="I1163" s="16"/>
      <c r="J1163" s="16"/>
      <c r="K1163" s="16"/>
      <c r="L1163" s="16"/>
      <c r="M1163" s="16"/>
      <c r="N1163" s="16"/>
      <c r="O1163" s="16"/>
      <c r="P1163" s="16"/>
      <c r="Q1163" s="16"/>
      <c r="R1163" s="16"/>
      <c r="S1163" s="16"/>
      <c r="T1163" s="16"/>
      <c r="U1163" s="16"/>
      <c r="V1163" s="16"/>
      <c r="W1163" s="16"/>
    </row>
    <row r="1164" customFormat="false" ht="14.25" hidden="false" customHeight="true" outlineLevel="0" collapsed="false">
      <c r="A1164" s="16"/>
      <c r="B1164" s="16"/>
      <c r="C1164" s="16"/>
      <c r="D1164" s="16"/>
      <c r="E1164" s="16"/>
      <c r="F1164" s="16"/>
      <c r="G1164" s="16"/>
      <c r="H1164" s="16"/>
      <c r="I1164" s="16"/>
      <c r="J1164" s="16"/>
      <c r="K1164" s="16"/>
      <c r="L1164" s="16"/>
      <c r="M1164" s="16"/>
      <c r="N1164" s="16"/>
      <c r="O1164" s="16"/>
      <c r="P1164" s="16"/>
      <c r="Q1164" s="16"/>
      <c r="R1164" s="16"/>
      <c r="S1164" s="16"/>
      <c r="T1164" s="16"/>
      <c r="U1164" s="16"/>
      <c r="V1164" s="16"/>
      <c r="W1164" s="16"/>
    </row>
    <row r="1165" customFormat="false" ht="14.25" hidden="false" customHeight="true" outlineLevel="0" collapsed="false">
      <c r="A1165" s="16"/>
      <c r="B1165" s="16"/>
      <c r="C1165" s="16"/>
      <c r="D1165" s="16"/>
      <c r="E1165" s="16"/>
      <c r="F1165" s="16"/>
      <c r="G1165" s="16"/>
      <c r="H1165" s="16"/>
      <c r="I1165" s="16"/>
      <c r="J1165" s="16"/>
      <c r="K1165" s="16"/>
      <c r="L1165" s="16"/>
      <c r="M1165" s="16"/>
      <c r="N1165" s="16"/>
      <c r="O1165" s="16"/>
      <c r="P1165" s="16"/>
      <c r="Q1165" s="16"/>
      <c r="R1165" s="16"/>
      <c r="S1165" s="16"/>
      <c r="T1165" s="16"/>
      <c r="U1165" s="16"/>
      <c r="V1165" s="16"/>
      <c r="W1165" s="16"/>
    </row>
    <row r="1166" customFormat="false" ht="14.25" hidden="false" customHeight="true" outlineLevel="0" collapsed="false">
      <c r="A1166" s="16"/>
      <c r="B1166" s="16"/>
      <c r="C1166" s="16"/>
      <c r="D1166" s="16"/>
      <c r="E1166" s="16"/>
      <c r="F1166" s="16"/>
      <c r="G1166" s="16"/>
      <c r="H1166" s="16"/>
      <c r="I1166" s="16"/>
      <c r="J1166" s="16"/>
      <c r="K1166" s="16"/>
      <c r="L1166" s="16"/>
      <c r="M1166" s="16"/>
      <c r="N1166" s="16"/>
      <c r="O1166" s="16"/>
      <c r="P1166" s="16"/>
      <c r="Q1166" s="16"/>
      <c r="R1166" s="16"/>
      <c r="S1166" s="16"/>
      <c r="T1166" s="16"/>
      <c r="U1166" s="16"/>
      <c r="V1166" s="16"/>
      <c r="W1166" s="16"/>
    </row>
    <row r="1167" customFormat="false" ht="14.25" hidden="false" customHeight="true" outlineLevel="0" collapsed="false">
      <c r="A1167" s="16"/>
      <c r="B1167" s="16"/>
      <c r="C1167" s="16"/>
      <c r="D1167" s="16"/>
      <c r="E1167" s="16"/>
      <c r="F1167" s="16"/>
      <c r="G1167" s="16"/>
      <c r="H1167" s="16"/>
      <c r="I1167" s="16"/>
      <c r="J1167" s="16"/>
      <c r="K1167" s="16"/>
      <c r="L1167" s="16"/>
      <c r="M1167" s="16"/>
      <c r="N1167" s="16"/>
      <c r="O1167" s="16"/>
      <c r="P1167" s="16"/>
      <c r="Q1167" s="16"/>
      <c r="R1167" s="16"/>
      <c r="S1167" s="16"/>
      <c r="T1167" s="16"/>
      <c r="U1167" s="16"/>
      <c r="V1167" s="16"/>
      <c r="W1167" s="16"/>
    </row>
    <row r="1168" customFormat="false" ht="14.25" hidden="false" customHeight="true" outlineLevel="0" collapsed="false">
      <c r="A1168" s="16"/>
      <c r="B1168" s="16"/>
      <c r="C1168" s="16"/>
      <c r="D1168" s="16"/>
      <c r="E1168" s="16"/>
      <c r="F1168" s="16"/>
      <c r="G1168" s="16"/>
      <c r="H1168" s="16"/>
      <c r="I1168" s="16"/>
      <c r="J1168" s="16"/>
      <c r="K1168" s="16"/>
      <c r="L1168" s="16"/>
      <c r="M1168" s="16"/>
      <c r="N1168" s="16"/>
      <c r="O1168" s="16"/>
      <c r="P1168" s="16"/>
      <c r="Q1168" s="16"/>
      <c r="R1168" s="16"/>
      <c r="S1168" s="16"/>
      <c r="T1168" s="16"/>
      <c r="U1168" s="16"/>
      <c r="V1168" s="16"/>
      <c r="W1168" s="16"/>
    </row>
    <row r="1169" customFormat="false" ht="14.25" hidden="false" customHeight="true" outlineLevel="0" collapsed="false">
      <c r="A1169" s="16"/>
      <c r="B1169" s="16"/>
      <c r="C1169" s="16"/>
      <c r="D1169" s="16"/>
      <c r="E1169" s="16"/>
      <c r="F1169" s="16"/>
      <c r="G1169" s="16"/>
      <c r="H1169" s="16"/>
      <c r="I1169" s="16"/>
      <c r="J1169" s="16"/>
      <c r="K1169" s="16"/>
      <c r="L1169" s="16"/>
      <c r="M1169" s="16"/>
      <c r="N1169" s="16"/>
      <c r="O1169" s="16"/>
      <c r="P1169" s="16"/>
      <c r="Q1169" s="16"/>
      <c r="R1169" s="16"/>
      <c r="S1169" s="16"/>
      <c r="T1169" s="16"/>
      <c r="U1169" s="16"/>
      <c r="V1169" s="16"/>
      <c r="W1169" s="16"/>
    </row>
    <row r="1170" customFormat="false" ht="14.25" hidden="false" customHeight="true" outlineLevel="0" collapsed="false">
      <c r="A1170" s="16"/>
      <c r="B1170" s="16"/>
      <c r="C1170" s="16"/>
      <c r="D1170" s="16"/>
      <c r="E1170" s="16"/>
      <c r="F1170" s="16"/>
      <c r="G1170" s="16"/>
      <c r="H1170" s="16"/>
      <c r="I1170" s="16"/>
      <c r="J1170" s="16"/>
      <c r="K1170" s="16"/>
      <c r="L1170" s="16"/>
      <c r="M1170" s="16"/>
      <c r="N1170" s="16"/>
      <c r="O1170" s="16"/>
      <c r="P1170" s="16"/>
      <c r="Q1170" s="16"/>
      <c r="R1170" s="16"/>
      <c r="S1170" s="16"/>
      <c r="T1170" s="16"/>
      <c r="U1170" s="16"/>
      <c r="V1170" s="16"/>
      <c r="W1170" s="16"/>
    </row>
    <row r="1171" customFormat="false" ht="14.25" hidden="false" customHeight="true" outlineLevel="0" collapsed="false">
      <c r="A1171" s="16"/>
      <c r="B1171" s="16"/>
      <c r="C1171" s="16"/>
      <c r="D1171" s="16"/>
      <c r="E1171" s="16"/>
      <c r="F1171" s="16"/>
      <c r="G1171" s="16"/>
      <c r="H1171" s="16"/>
      <c r="I1171" s="16"/>
      <c r="J1171" s="16"/>
      <c r="K1171" s="16"/>
      <c r="L1171" s="16"/>
      <c r="M1171" s="16"/>
      <c r="N1171" s="16"/>
      <c r="O1171" s="16"/>
      <c r="P1171" s="16"/>
      <c r="Q1171" s="16"/>
      <c r="R1171" s="16"/>
      <c r="S1171" s="16"/>
      <c r="T1171" s="16"/>
      <c r="U1171" s="16"/>
      <c r="V1171" s="16"/>
      <c r="W1171" s="16"/>
    </row>
    <row r="1172" customFormat="false" ht="14.25" hidden="false" customHeight="true" outlineLevel="0" collapsed="false">
      <c r="A1172" s="16"/>
      <c r="B1172" s="16"/>
      <c r="C1172" s="16"/>
      <c r="D1172" s="16"/>
      <c r="E1172" s="16"/>
      <c r="F1172" s="16"/>
      <c r="G1172" s="16"/>
      <c r="H1172" s="16"/>
      <c r="I1172" s="16"/>
      <c r="J1172" s="16"/>
      <c r="K1172" s="16"/>
      <c r="L1172" s="16"/>
      <c r="M1172" s="16"/>
      <c r="N1172" s="16"/>
      <c r="O1172" s="16"/>
      <c r="P1172" s="16"/>
      <c r="Q1172" s="16"/>
      <c r="R1172" s="16"/>
      <c r="S1172" s="16"/>
      <c r="T1172" s="16"/>
      <c r="U1172" s="16"/>
      <c r="V1172" s="16"/>
      <c r="W1172" s="16"/>
    </row>
    <row r="1173" customFormat="false" ht="14.25" hidden="false" customHeight="true" outlineLevel="0" collapsed="false">
      <c r="A1173" s="16"/>
      <c r="B1173" s="16"/>
      <c r="C1173" s="16"/>
      <c r="D1173" s="16"/>
      <c r="E1173" s="16"/>
      <c r="F1173" s="16"/>
      <c r="G1173" s="16"/>
      <c r="H1173" s="16"/>
      <c r="I1173" s="16"/>
      <c r="J1173" s="16"/>
      <c r="K1173" s="16"/>
      <c r="L1173" s="16"/>
      <c r="M1173" s="16"/>
      <c r="N1173" s="16"/>
      <c r="O1173" s="16"/>
      <c r="P1173" s="16"/>
      <c r="Q1173" s="16"/>
      <c r="R1173" s="16"/>
      <c r="S1173" s="16"/>
      <c r="T1173" s="16"/>
      <c r="U1173" s="16"/>
      <c r="V1173" s="16"/>
      <c r="W1173" s="16"/>
    </row>
    <row r="1174" customFormat="false" ht="14.25" hidden="false" customHeight="true" outlineLevel="0" collapsed="false">
      <c r="A1174" s="16"/>
      <c r="B1174" s="16"/>
      <c r="C1174" s="16"/>
      <c r="D1174" s="16"/>
      <c r="E1174" s="16"/>
      <c r="F1174" s="16"/>
      <c r="G1174" s="16"/>
      <c r="H1174" s="16"/>
      <c r="I1174" s="16"/>
      <c r="J1174" s="16"/>
      <c r="K1174" s="16"/>
      <c r="L1174" s="16"/>
      <c r="M1174" s="16"/>
      <c r="N1174" s="16"/>
      <c r="O1174" s="16"/>
      <c r="P1174" s="16"/>
      <c r="Q1174" s="16"/>
      <c r="R1174" s="16"/>
      <c r="S1174" s="16"/>
      <c r="T1174" s="16"/>
      <c r="U1174" s="16"/>
      <c r="V1174" s="16"/>
      <c r="W1174" s="16"/>
    </row>
    <row r="1175" customFormat="false" ht="14.25" hidden="false" customHeight="true" outlineLevel="0" collapsed="false">
      <c r="A1175" s="16"/>
      <c r="B1175" s="16"/>
      <c r="C1175" s="16"/>
      <c r="D1175" s="16"/>
      <c r="E1175" s="16"/>
      <c r="F1175" s="16"/>
      <c r="G1175" s="16"/>
      <c r="H1175" s="16"/>
      <c r="I1175" s="16"/>
      <c r="J1175" s="16"/>
      <c r="K1175" s="16"/>
      <c r="L1175" s="16"/>
      <c r="M1175" s="16"/>
      <c r="N1175" s="16"/>
      <c r="O1175" s="16"/>
      <c r="P1175" s="16"/>
      <c r="Q1175" s="16"/>
      <c r="R1175" s="16"/>
      <c r="S1175" s="16"/>
      <c r="T1175" s="16"/>
      <c r="U1175" s="16"/>
      <c r="V1175" s="16"/>
      <c r="W1175" s="16"/>
    </row>
    <row r="1176" customFormat="false" ht="14.25" hidden="false" customHeight="true" outlineLevel="0" collapsed="false">
      <c r="A1176" s="16"/>
      <c r="B1176" s="16"/>
      <c r="C1176" s="16"/>
      <c r="D1176" s="16"/>
      <c r="E1176" s="16"/>
      <c r="F1176" s="16"/>
      <c r="G1176" s="16"/>
      <c r="H1176" s="16"/>
      <c r="I1176" s="16"/>
      <c r="J1176" s="16"/>
      <c r="K1176" s="16"/>
      <c r="L1176" s="16"/>
      <c r="M1176" s="16"/>
      <c r="N1176" s="16"/>
      <c r="O1176" s="16"/>
      <c r="P1176" s="16"/>
      <c r="Q1176" s="16"/>
      <c r="R1176" s="16"/>
      <c r="S1176" s="16"/>
      <c r="T1176" s="16"/>
      <c r="U1176" s="16"/>
      <c r="V1176" s="16"/>
      <c r="W1176" s="16"/>
    </row>
    <row r="1177" customFormat="false" ht="14.25" hidden="false" customHeight="true" outlineLevel="0" collapsed="false">
      <c r="A1177" s="16"/>
      <c r="B1177" s="16"/>
      <c r="C1177" s="16"/>
      <c r="D1177" s="16"/>
      <c r="E1177" s="16"/>
      <c r="F1177" s="16"/>
      <c r="G1177" s="16"/>
      <c r="H1177" s="16"/>
      <c r="I1177" s="16"/>
      <c r="J1177" s="16"/>
      <c r="K1177" s="16"/>
      <c r="L1177" s="16"/>
      <c r="M1177" s="16"/>
      <c r="N1177" s="16"/>
      <c r="O1177" s="16"/>
      <c r="P1177" s="16"/>
      <c r="Q1177" s="16"/>
      <c r="R1177" s="16"/>
      <c r="S1177" s="16"/>
      <c r="T1177" s="16"/>
      <c r="U1177" s="16"/>
      <c r="V1177" s="16"/>
      <c r="W1177" s="16"/>
    </row>
    <row r="1178" customFormat="false" ht="14.25" hidden="false" customHeight="true" outlineLevel="0" collapsed="false">
      <c r="A1178" s="16"/>
      <c r="B1178" s="16"/>
      <c r="C1178" s="16"/>
      <c r="D1178" s="16"/>
      <c r="E1178" s="16"/>
      <c r="F1178" s="16"/>
      <c r="G1178" s="16"/>
      <c r="H1178" s="16"/>
      <c r="I1178" s="16"/>
      <c r="J1178" s="16"/>
      <c r="K1178" s="16"/>
      <c r="L1178" s="16"/>
      <c r="M1178" s="16"/>
      <c r="N1178" s="16"/>
      <c r="O1178" s="16"/>
      <c r="P1178" s="16"/>
      <c r="Q1178" s="16"/>
      <c r="R1178" s="16"/>
      <c r="S1178" s="16"/>
      <c r="T1178" s="16"/>
      <c r="U1178" s="16"/>
      <c r="V1178" s="16"/>
      <c r="W1178" s="16"/>
    </row>
    <row r="1179" customFormat="false" ht="14.25" hidden="false" customHeight="true" outlineLevel="0" collapsed="false">
      <c r="A1179" s="16"/>
      <c r="B1179" s="16"/>
      <c r="C1179" s="16"/>
      <c r="D1179" s="16"/>
      <c r="E1179" s="16"/>
      <c r="F1179" s="16"/>
      <c r="G1179" s="16"/>
      <c r="H1179" s="16"/>
      <c r="I1179" s="16"/>
      <c r="J1179" s="16"/>
      <c r="K1179" s="16"/>
      <c r="L1179" s="16"/>
      <c r="M1179" s="16"/>
      <c r="N1179" s="16"/>
      <c r="O1179" s="16"/>
      <c r="P1179" s="16"/>
      <c r="Q1179" s="16"/>
      <c r="R1179" s="16"/>
      <c r="S1179" s="16"/>
      <c r="T1179" s="16"/>
      <c r="U1179" s="16"/>
      <c r="V1179" s="16"/>
      <c r="W1179" s="16"/>
    </row>
    <row r="1180" customFormat="false" ht="14.25" hidden="false" customHeight="true" outlineLevel="0" collapsed="false">
      <c r="A1180" s="16"/>
      <c r="B1180" s="16"/>
      <c r="C1180" s="16"/>
      <c r="D1180" s="16"/>
      <c r="E1180" s="16"/>
      <c r="F1180" s="16"/>
      <c r="G1180" s="16"/>
      <c r="H1180" s="16"/>
      <c r="I1180" s="16"/>
      <c r="J1180" s="16"/>
      <c r="K1180" s="16"/>
      <c r="L1180" s="16"/>
      <c r="M1180" s="16"/>
      <c r="N1180" s="16"/>
      <c r="O1180" s="16"/>
      <c r="P1180" s="16"/>
      <c r="Q1180" s="16"/>
      <c r="R1180" s="16"/>
      <c r="S1180" s="16"/>
      <c r="T1180" s="16"/>
      <c r="U1180" s="16"/>
      <c r="V1180" s="16"/>
      <c r="W1180" s="16"/>
    </row>
    <row r="1181" customFormat="false" ht="14.25" hidden="false" customHeight="true" outlineLevel="0" collapsed="false">
      <c r="A1181" s="16"/>
      <c r="B1181" s="16"/>
      <c r="C1181" s="16"/>
      <c r="D1181" s="16"/>
      <c r="E1181" s="16"/>
      <c r="F1181" s="16"/>
      <c r="G1181" s="16"/>
      <c r="H1181" s="16"/>
      <c r="I1181" s="16"/>
      <c r="J1181" s="16"/>
      <c r="K1181" s="16"/>
      <c r="L1181" s="16"/>
      <c r="M1181" s="16"/>
      <c r="N1181" s="16"/>
      <c r="O1181" s="16"/>
      <c r="P1181" s="16"/>
      <c r="Q1181" s="16"/>
      <c r="R1181" s="16"/>
      <c r="S1181" s="16"/>
      <c r="T1181" s="16"/>
      <c r="U1181" s="16"/>
      <c r="V1181" s="16"/>
      <c r="W1181" s="16"/>
    </row>
    <row r="1182" customFormat="false" ht="14.25" hidden="false" customHeight="true" outlineLevel="0" collapsed="false">
      <c r="A1182" s="16"/>
      <c r="B1182" s="16"/>
      <c r="C1182" s="16"/>
      <c r="D1182" s="16"/>
      <c r="E1182" s="16"/>
      <c r="F1182" s="16"/>
      <c r="G1182" s="16"/>
      <c r="H1182" s="16"/>
      <c r="I1182" s="16"/>
      <c r="J1182" s="16"/>
      <c r="K1182" s="16"/>
      <c r="L1182" s="16"/>
      <c r="M1182" s="16"/>
      <c r="N1182" s="16"/>
      <c r="O1182" s="16"/>
      <c r="P1182" s="16"/>
      <c r="Q1182" s="16"/>
      <c r="R1182" s="16"/>
      <c r="S1182" s="16"/>
      <c r="T1182" s="16"/>
      <c r="U1182" s="16"/>
      <c r="V1182" s="16"/>
      <c r="W1182" s="16"/>
    </row>
    <row r="1183" customFormat="false" ht="14.25" hidden="false" customHeight="true" outlineLevel="0" collapsed="false">
      <c r="A1183" s="16"/>
      <c r="B1183" s="16"/>
      <c r="C1183" s="16"/>
      <c r="D1183" s="16"/>
      <c r="E1183" s="16"/>
      <c r="F1183" s="16"/>
      <c r="G1183" s="16"/>
      <c r="H1183" s="16"/>
      <c r="I1183" s="16"/>
      <c r="J1183" s="16"/>
      <c r="K1183" s="16"/>
      <c r="L1183" s="16"/>
      <c r="M1183" s="16"/>
      <c r="N1183" s="16"/>
      <c r="O1183" s="16"/>
      <c r="P1183" s="16"/>
      <c r="Q1183" s="16"/>
      <c r="R1183" s="16"/>
      <c r="S1183" s="16"/>
      <c r="T1183" s="16"/>
      <c r="U1183" s="16"/>
      <c r="V1183" s="16"/>
      <c r="W1183" s="16"/>
    </row>
    <row r="1184" customFormat="false" ht="14.25" hidden="false" customHeight="true" outlineLevel="0" collapsed="false">
      <c r="A1184" s="16"/>
      <c r="B1184" s="16"/>
      <c r="C1184" s="16"/>
      <c r="D1184" s="16"/>
      <c r="E1184" s="16"/>
      <c r="F1184" s="16"/>
      <c r="G1184" s="16"/>
      <c r="H1184" s="16"/>
      <c r="I1184" s="16"/>
      <c r="J1184" s="16"/>
      <c r="K1184" s="16"/>
      <c r="L1184" s="16"/>
      <c r="M1184" s="16"/>
      <c r="N1184" s="16"/>
      <c r="O1184" s="16"/>
      <c r="P1184" s="16"/>
      <c r="Q1184" s="16"/>
      <c r="R1184" s="16"/>
      <c r="S1184" s="16"/>
      <c r="T1184" s="16"/>
      <c r="U1184" s="16"/>
      <c r="V1184" s="16"/>
      <c r="W1184" s="16"/>
    </row>
    <row r="1185" customFormat="false" ht="14.25" hidden="false" customHeight="true" outlineLevel="0" collapsed="false">
      <c r="A1185" s="16"/>
      <c r="B1185" s="16"/>
      <c r="C1185" s="16"/>
      <c r="D1185" s="16"/>
      <c r="E1185" s="16"/>
      <c r="F1185" s="16"/>
      <c r="G1185" s="16"/>
      <c r="H1185" s="16"/>
      <c r="I1185" s="16"/>
      <c r="J1185" s="16"/>
      <c r="K1185" s="16"/>
      <c r="L1185" s="16"/>
      <c r="M1185" s="16"/>
      <c r="N1185" s="16"/>
      <c r="O1185" s="16"/>
      <c r="P1185" s="16"/>
      <c r="Q1185" s="16"/>
      <c r="R1185" s="16"/>
      <c r="S1185" s="16"/>
      <c r="T1185" s="16"/>
      <c r="U1185" s="16"/>
      <c r="V1185" s="16"/>
      <c r="W1185" s="16"/>
    </row>
    <row r="1186" customFormat="false" ht="14.25" hidden="false" customHeight="true" outlineLevel="0" collapsed="false">
      <c r="A1186" s="16"/>
      <c r="B1186" s="16"/>
      <c r="C1186" s="16"/>
      <c r="D1186" s="16"/>
      <c r="E1186" s="16"/>
      <c r="F1186" s="16"/>
      <c r="G1186" s="16"/>
      <c r="H1186" s="16"/>
      <c r="I1186" s="16"/>
      <c r="J1186" s="16"/>
      <c r="K1186" s="16"/>
      <c r="L1186" s="16"/>
      <c r="M1186" s="16"/>
      <c r="N1186" s="16"/>
      <c r="O1186" s="16"/>
      <c r="P1186" s="16"/>
      <c r="Q1186" s="16"/>
      <c r="R1186" s="16"/>
      <c r="S1186" s="16"/>
      <c r="T1186" s="16"/>
      <c r="U1186" s="16"/>
      <c r="V1186" s="16"/>
      <c r="W1186" s="16"/>
    </row>
    <row r="1187" customFormat="false" ht="14.25" hidden="false" customHeight="true" outlineLevel="0" collapsed="false">
      <c r="A1187" s="16"/>
      <c r="B1187" s="16"/>
      <c r="C1187" s="16"/>
      <c r="D1187" s="16"/>
      <c r="E1187" s="16"/>
      <c r="F1187" s="16"/>
      <c r="G1187" s="16"/>
      <c r="H1187" s="16"/>
      <c r="I1187" s="16"/>
      <c r="J1187" s="16"/>
      <c r="K1187" s="16"/>
      <c r="L1187" s="16"/>
      <c r="M1187" s="16"/>
      <c r="N1187" s="16"/>
      <c r="O1187" s="16"/>
      <c r="P1187" s="16"/>
      <c r="Q1187" s="16"/>
      <c r="R1187" s="16"/>
      <c r="S1187" s="16"/>
      <c r="T1187" s="16"/>
      <c r="U1187" s="16"/>
      <c r="V1187" s="16"/>
      <c r="W1187" s="16"/>
    </row>
    <row r="1188" customFormat="false" ht="14.25" hidden="false" customHeight="true" outlineLevel="0" collapsed="false">
      <c r="A1188" s="16"/>
      <c r="B1188" s="16"/>
      <c r="C1188" s="16"/>
      <c r="D1188" s="16"/>
      <c r="E1188" s="16"/>
      <c r="F1188" s="16"/>
      <c r="G1188" s="16"/>
      <c r="H1188" s="16"/>
      <c r="I1188" s="16"/>
      <c r="J1188" s="16"/>
      <c r="K1188" s="16"/>
      <c r="L1188" s="16"/>
      <c r="M1188" s="16"/>
      <c r="N1188" s="16"/>
      <c r="O1188" s="16"/>
      <c r="P1188" s="16"/>
      <c r="Q1188" s="16"/>
      <c r="R1188" s="16"/>
      <c r="S1188" s="16"/>
      <c r="T1188" s="16"/>
      <c r="U1188" s="16"/>
      <c r="V1188" s="16"/>
      <c r="W1188" s="16"/>
    </row>
    <row r="1189" customFormat="false" ht="14.25" hidden="false" customHeight="true" outlineLevel="0" collapsed="false">
      <c r="A1189" s="16"/>
      <c r="B1189" s="16"/>
      <c r="C1189" s="16"/>
      <c r="D1189" s="16"/>
      <c r="E1189" s="16"/>
      <c r="F1189" s="16"/>
      <c r="G1189" s="16"/>
      <c r="H1189" s="16"/>
      <c r="I1189" s="16"/>
      <c r="J1189" s="16"/>
      <c r="K1189" s="16"/>
      <c r="L1189" s="16"/>
      <c r="M1189" s="16"/>
      <c r="N1189" s="16"/>
      <c r="O1189" s="16"/>
      <c r="P1189" s="16"/>
      <c r="Q1189" s="16"/>
      <c r="R1189" s="16"/>
      <c r="S1189" s="16"/>
      <c r="T1189" s="16"/>
      <c r="U1189" s="16"/>
      <c r="V1189" s="16"/>
      <c r="W1189" s="16"/>
    </row>
    <row r="1190" customFormat="false" ht="14.25" hidden="false" customHeight="true" outlineLevel="0" collapsed="false">
      <c r="A1190" s="16"/>
      <c r="B1190" s="16"/>
      <c r="C1190" s="16"/>
      <c r="D1190" s="16"/>
      <c r="E1190" s="16"/>
      <c r="F1190" s="16"/>
      <c r="G1190" s="16"/>
      <c r="H1190" s="16"/>
      <c r="I1190" s="16"/>
      <c r="J1190" s="16"/>
      <c r="K1190" s="16"/>
      <c r="L1190" s="16"/>
      <c r="M1190" s="16"/>
      <c r="N1190" s="16"/>
      <c r="O1190" s="16"/>
      <c r="P1190" s="16"/>
      <c r="Q1190" s="16"/>
      <c r="R1190" s="16"/>
      <c r="S1190" s="16"/>
      <c r="T1190" s="16"/>
      <c r="U1190" s="16"/>
      <c r="V1190" s="16"/>
      <c r="W1190" s="16"/>
    </row>
    <row r="1191" customFormat="false" ht="14.25" hidden="false" customHeight="true" outlineLevel="0" collapsed="false">
      <c r="A1191" s="16"/>
      <c r="B1191" s="16"/>
      <c r="C1191" s="16"/>
      <c r="D1191" s="16"/>
      <c r="E1191" s="16"/>
      <c r="F1191" s="16"/>
      <c r="G1191" s="16"/>
      <c r="H1191" s="16"/>
      <c r="I1191" s="16"/>
      <c r="J1191" s="16"/>
      <c r="K1191" s="16"/>
      <c r="L1191" s="16"/>
      <c r="M1191" s="16"/>
      <c r="N1191" s="16"/>
      <c r="O1191" s="16"/>
      <c r="P1191" s="16"/>
      <c r="Q1191" s="16"/>
      <c r="R1191" s="16"/>
      <c r="S1191" s="16"/>
      <c r="T1191" s="16"/>
      <c r="U1191" s="16"/>
      <c r="V1191" s="16"/>
      <c r="W1191" s="16"/>
    </row>
    <row r="1192" customFormat="false" ht="14.25" hidden="false" customHeight="true" outlineLevel="0" collapsed="false">
      <c r="A1192" s="16"/>
      <c r="B1192" s="16"/>
      <c r="C1192" s="16"/>
      <c r="D1192" s="16"/>
      <c r="E1192" s="16"/>
      <c r="F1192" s="16"/>
      <c r="G1192" s="16"/>
      <c r="H1192" s="16"/>
      <c r="I1192" s="16"/>
      <c r="J1192" s="16"/>
      <c r="K1192" s="16"/>
      <c r="L1192" s="16"/>
      <c r="M1192" s="16"/>
      <c r="N1192" s="16"/>
      <c r="O1192" s="16"/>
      <c r="P1192" s="16"/>
      <c r="Q1192" s="16"/>
      <c r="R1192" s="16"/>
      <c r="S1192" s="16"/>
      <c r="T1192" s="16"/>
      <c r="U1192" s="16"/>
      <c r="V1192" s="16"/>
      <c r="W1192" s="16"/>
    </row>
    <row r="1193" customFormat="false" ht="14.25" hidden="false" customHeight="true" outlineLevel="0" collapsed="false">
      <c r="A1193" s="16"/>
      <c r="B1193" s="16"/>
      <c r="C1193" s="16"/>
      <c r="D1193" s="16"/>
      <c r="E1193" s="16"/>
      <c r="F1193" s="16"/>
      <c r="G1193" s="16"/>
      <c r="H1193" s="16"/>
      <c r="I1193" s="16"/>
      <c r="J1193" s="16"/>
      <c r="K1193" s="16"/>
      <c r="L1193" s="16"/>
      <c r="M1193" s="16"/>
      <c r="N1193" s="16"/>
      <c r="O1193" s="16"/>
      <c r="P1193" s="16"/>
      <c r="Q1193" s="16"/>
      <c r="R1193" s="16"/>
      <c r="S1193" s="16"/>
      <c r="T1193" s="16"/>
      <c r="U1193" s="16"/>
      <c r="V1193" s="16"/>
      <c r="W1193" s="16"/>
    </row>
    <row r="1194" customFormat="false" ht="14.25" hidden="false" customHeight="true" outlineLevel="0" collapsed="false">
      <c r="A1194" s="16"/>
      <c r="B1194" s="16"/>
      <c r="C1194" s="16"/>
      <c r="D1194" s="16"/>
      <c r="E1194" s="16"/>
      <c r="F1194" s="16"/>
      <c r="G1194" s="16"/>
      <c r="H1194" s="16"/>
      <c r="I1194" s="16"/>
      <c r="J1194" s="16"/>
      <c r="K1194" s="16"/>
      <c r="L1194" s="16"/>
      <c r="M1194" s="16"/>
      <c r="N1194" s="16"/>
      <c r="O1194" s="16"/>
      <c r="P1194" s="16"/>
      <c r="Q1194" s="16"/>
      <c r="R1194" s="16"/>
      <c r="S1194" s="16"/>
      <c r="T1194" s="16"/>
      <c r="U1194" s="16"/>
      <c r="V1194" s="16"/>
      <c r="W1194" s="16"/>
    </row>
    <row r="1195" customFormat="false" ht="14.25" hidden="false" customHeight="true" outlineLevel="0" collapsed="false">
      <c r="A1195" s="16"/>
      <c r="B1195" s="16"/>
      <c r="C1195" s="16"/>
      <c r="D1195" s="16"/>
      <c r="E1195" s="16"/>
      <c r="F1195" s="16"/>
      <c r="G1195" s="16"/>
      <c r="H1195" s="16"/>
      <c r="I1195" s="16"/>
      <c r="J1195" s="16"/>
      <c r="K1195" s="16"/>
      <c r="L1195" s="16"/>
      <c r="M1195" s="16"/>
      <c r="N1195" s="16"/>
      <c r="O1195" s="16"/>
      <c r="P1195" s="16"/>
      <c r="Q1195" s="16"/>
      <c r="R1195" s="16"/>
      <c r="S1195" s="16"/>
      <c r="T1195" s="16"/>
      <c r="U1195" s="16"/>
      <c r="V1195" s="16"/>
      <c r="W1195" s="16"/>
    </row>
    <row r="1196" customFormat="false" ht="14.25" hidden="false" customHeight="true" outlineLevel="0" collapsed="false">
      <c r="A1196" s="16"/>
      <c r="B1196" s="16"/>
      <c r="C1196" s="16"/>
      <c r="D1196" s="16"/>
      <c r="E1196" s="16"/>
      <c r="F1196" s="16"/>
      <c r="G1196" s="16"/>
      <c r="H1196" s="16"/>
      <c r="I1196" s="16"/>
      <c r="J1196" s="16"/>
      <c r="K1196" s="16"/>
      <c r="L1196" s="16"/>
      <c r="M1196" s="16"/>
      <c r="N1196" s="16"/>
      <c r="O1196" s="16"/>
      <c r="P1196" s="16"/>
      <c r="Q1196" s="16"/>
      <c r="R1196" s="16"/>
      <c r="S1196" s="16"/>
      <c r="T1196" s="16"/>
      <c r="U1196" s="16"/>
      <c r="V1196" s="16"/>
      <c r="W1196" s="16"/>
    </row>
    <row r="1197" customFormat="false" ht="14.25" hidden="false" customHeight="true" outlineLevel="0" collapsed="false">
      <c r="A1197" s="16"/>
      <c r="B1197" s="16"/>
      <c r="C1197" s="16"/>
      <c r="D1197" s="16"/>
      <c r="E1197" s="16"/>
      <c r="F1197" s="16"/>
      <c r="G1197" s="16"/>
      <c r="H1197" s="16"/>
      <c r="I1197" s="16"/>
      <c r="J1197" s="16"/>
      <c r="K1197" s="16"/>
      <c r="L1197" s="16"/>
      <c r="M1197" s="16"/>
      <c r="N1197" s="16"/>
      <c r="O1197" s="16"/>
      <c r="P1197" s="16"/>
      <c r="Q1197" s="16"/>
      <c r="R1197" s="16"/>
      <c r="S1197" s="16"/>
      <c r="T1197" s="16"/>
      <c r="U1197" s="16"/>
      <c r="V1197" s="16"/>
      <c r="W1197" s="16"/>
    </row>
    <row r="1198" customFormat="false" ht="14.25" hidden="false" customHeight="true" outlineLevel="0" collapsed="false">
      <c r="A1198" s="16"/>
      <c r="B1198" s="16"/>
      <c r="C1198" s="16"/>
      <c r="D1198" s="16"/>
      <c r="E1198" s="16"/>
      <c r="F1198" s="16"/>
      <c r="G1198" s="16"/>
      <c r="H1198" s="16"/>
      <c r="I1198" s="16"/>
      <c r="J1198" s="16"/>
      <c r="K1198" s="16"/>
      <c r="L1198" s="16"/>
      <c r="M1198" s="16"/>
      <c r="N1198" s="16"/>
      <c r="O1198" s="16"/>
      <c r="P1198" s="16"/>
      <c r="Q1198" s="16"/>
      <c r="R1198" s="16"/>
      <c r="S1198" s="16"/>
      <c r="T1198" s="16"/>
      <c r="U1198" s="16"/>
      <c r="V1198" s="16"/>
      <c r="W1198" s="16"/>
    </row>
    <row r="1199" customFormat="false" ht="14.25" hidden="false" customHeight="true" outlineLevel="0" collapsed="false">
      <c r="A1199" s="16"/>
      <c r="B1199" s="16"/>
      <c r="C1199" s="16"/>
      <c r="D1199" s="16"/>
      <c r="E1199" s="16"/>
      <c r="F1199" s="16"/>
      <c r="G1199" s="16"/>
      <c r="H1199" s="16"/>
      <c r="I1199" s="16"/>
      <c r="J1199" s="16"/>
      <c r="K1199" s="16"/>
      <c r="L1199" s="16"/>
      <c r="M1199" s="16"/>
      <c r="N1199" s="16"/>
      <c r="O1199" s="16"/>
      <c r="P1199" s="16"/>
      <c r="Q1199" s="16"/>
      <c r="R1199" s="16"/>
      <c r="S1199" s="16"/>
      <c r="T1199" s="16"/>
      <c r="U1199" s="16"/>
      <c r="V1199" s="16"/>
      <c r="W1199" s="16"/>
    </row>
    <row r="1200" customFormat="false" ht="14.25" hidden="false" customHeight="true" outlineLevel="0" collapsed="false">
      <c r="A1200" s="16"/>
      <c r="B1200" s="16"/>
      <c r="C1200" s="16"/>
      <c r="D1200" s="16"/>
      <c r="E1200" s="16"/>
      <c r="F1200" s="16"/>
      <c r="G1200" s="16"/>
      <c r="H1200" s="16"/>
      <c r="I1200" s="16"/>
      <c r="J1200" s="16"/>
      <c r="K1200" s="16"/>
      <c r="L1200" s="16"/>
      <c r="M1200" s="16"/>
      <c r="N1200" s="16"/>
      <c r="O1200" s="16"/>
      <c r="P1200" s="16"/>
      <c r="Q1200" s="16"/>
      <c r="R1200" s="16"/>
      <c r="S1200" s="16"/>
      <c r="T1200" s="16"/>
      <c r="U1200" s="16"/>
      <c r="V1200" s="16"/>
      <c r="W1200" s="16"/>
    </row>
    <row r="1201" customFormat="false" ht="14.25" hidden="false" customHeight="true" outlineLevel="0" collapsed="false">
      <c r="A1201" s="16"/>
      <c r="B1201" s="16"/>
      <c r="C1201" s="16"/>
      <c r="D1201" s="16"/>
      <c r="E1201" s="16"/>
      <c r="F1201" s="16"/>
      <c r="G1201" s="16"/>
      <c r="H1201" s="16"/>
      <c r="I1201" s="16"/>
      <c r="J1201" s="16"/>
      <c r="K1201" s="16"/>
      <c r="L1201" s="16"/>
      <c r="M1201" s="16"/>
      <c r="N1201" s="16"/>
      <c r="O1201" s="16"/>
      <c r="P1201" s="16"/>
      <c r="Q1201" s="16"/>
      <c r="R1201" s="16"/>
      <c r="S1201" s="16"/>
      <c r="T1201" s="16"/>
      <c r="U1201" s="16"/>
      <c r="V1201" s="16"/>
      <c r="W1201" s="16"/>
    </row>
    <row r="1202" customFormat="false" ht="14.25" hidden="false" customHeight="true" outlineLevel="0" collapsed="false">
      <c r="A1202" s="16"/>
      <c r="B1202" s="16"/>
      <c r="C1202" s="16"/>
      <c r="D1202" s="16"/>
      <c r="E1202" s="16"/>
      <c r="F1202" s="16"/>
      <c r="G1202" s="16"/>
      <c r="H1202" s="16"/>
      <c r="I1202" s="16"/>
      <c r="J1202" s="16"/>
      <c r="K1202" s="16"/>
      <c r="L1202" s="16"/>
      <c r="M1202" s="16"/>
      <c r="N1202" s="16"/>
      <c r="O1202" s="16"/>
      <c r="P1202" s="16"/>
      <c r="Q1202" s="16"/>
      <c r="R1202" s="16"/>
      <c r="S1202" s="16"/>
      <c r="T1202" s="16"/>
      <c r="U1202" s="16"/>
      <c r="V1202" s="16"/>
      <c r="W1202" s="16"/>
    </row>
    <row r="1203" customFormat="false" ht="14.25" hidden="false" customHeight="true" outlineLevel="0" collapsed="false">
      <c r="A1203" s="16"/>
      <c r="B1203" s="16"/>
      <c r="C1203" s="16"/>
      <c r="D1203" s="16"/>
      <c r="E1203" s="16"/>
      <c r="F1203" s="16"/>
      <c r="G1203" s="16"/>
      <c r="H1203" s="16"/>
      <c r="I1203" s="16"/>
      <c r="J1203" s="16"/>
      <c r="K1203" s="16"/>
      <c r="L1203" s="16"/>
      <c r="M1203" s="16"/>
      <c r="N1203" s="16"/>
      <c r="O1203" s="16"/>
      <c r="P1203" s="16"/>
      <c r="Q1203" s="16"/>
      <c r="R1203" s="16"/>
      <c r="S1203" s="16"/>
      <c r="T1203" s="16"/>
      <c r="U1203" s="16"/>
      <c r="V1203" s="16"/>
      <c r="W1203" s="16"/>
    </row>
    <row r="1204" customFormat="false" ht="14.25" hidden="false" customHeight="true" outlineLevel="0" collapsed="false">
      <c r="A1204" s="16"/>
      <c r="B1204" s="16"/>
      <c r="C1204" s="16"/>
      <c r="D1204" s="16"/>
      <c r="E1204" s="16"/>
      <c r="F1204" s="16"/>
      <c r="G1204" s="16"/>
      <c r="H1204" s="16"/>
      <c r="I1204" s="16"/>
      <c r="J1204" s="16"/>
      <c r="K1204" s="16"/>
      <c r="L1204" s="16"/>
      <c r="M1204" s="16"/>
      <c r="N1204" s="16"/>
      <c r="O1204" s="16"/>
      <c r="P1204" s="16"/>
      <c r="Q1204" s="16"/>
      <c r="R1204" s="16"/>
      <c r="S1204" s="16"/>
      <c r="T1204" s="16"/>
      <c r="U1204" s="16"/>
      <c r="V1204" s="16"/>
      <c r="W1204" s="16"/>
    </row>
    <row r="1205" customFormat="false" ht="14.25" hidden="false" customHeight="true" outlineLevel="0" collapsed="false">
      <c r="A1205" s="16"/>
      <c r="B1205" s="16"/>
      <c r="C1205" s="16"/>
      <c r="D1205" s="16"/>
      <c r="E1205" s="16"/>
      <c r="F1205" s="16"/>
      <c r="G1205" s="16"/>
      <c r="H1205" s="16"/>
      <c r="I1205" s="16"/>
      <c r="J1205" s="16"/>
      <c r="K1205" s="16"/>
      <c r="L1205" s="16"/>
      <c r="M1205" s="16"/>
      <c r="N1205" s="16"/>
      <c r="O1205" s="16"/>
      <c r="P1205" s="16"/>
      <c r="Q1205" s="16"/>
      <c r="R1205" s="16"/>
      <c r="S1205" s="16"/>
      <c r="T1205" s="16"/>
      <c r="U1205" s="16"/>
      <c r="V1205" s="16"/>
      <c r="W1205" s="16"/>
    </row>
    <row r="1206" customFormat="false" ht="14.25" hidden="false" customHeight="true" outlineLevel="0" collapsed="false">
      <c r="A1206" s="16"/>
      <c r="B1206" s="16"/>
      <c r="C1206" s="16"/>
      <c r="D1206" s="16"/>
      <c r="E1206" s="16"/>
      <c r="F1206" s="16"/>
      <c r="G1206" s="16"/>
      <c r="H1206" s="16"/>
      <c r="I1206" s="16"/>
      <c r="J1206" s="16"/>
      <c r="K1206" s="16"/>
      <c r="L1206" s="16"/>
      <c r="M1206" s="16"/>
      <c r="N1206" s="16"/>
      <c r="O1206" s="16"/>
      <c r="P1206" s="16"/>
      <c r="Q1206" s="16"/>
      <c r="R1206" s="16"/>
      <c r="S1206" s="16"/>
      <c r="T1206" s="16"/>
      <c r="U1206" s="16"/>
      <c r="V1206" s="16"/>
      <c r="W1206" s="16"/>
    </row>
    <row r="1207" customFormat="false" ht="14.25" hidden="false" customHeight="true" outlineLevel="0" collapsed="false">
      <c r="A1207" s="16"/>
      <c r="B1207" s="16"/>
      <c r="C1207" s="16"/>
      <c r="D1207" s="16"/>
      <c r="E1207" s="16"/>
      <c r="F1207" s="16"/>
      <c r="G1207" s="16"/>
      <c r="H1207" s="16"/>
      <c r="I1207" s="16"/>
      <c r="J1207" s="16"/>
      <c r="K1207" s="16"/>
      <c r="L1207" s="16"/>
      <c r="M1207" s="16"/>
      <c r="N1207" s="16"/>
      <c r="O1207" s="16"/>
      <c r="P1207" s="16"/>
      <c r="Q1207" s="16"/>
      <c r="R1207" s="16"/>
      <c r="S1207" s="16"/>
      <c r="T1207" s="16"/>
      <c r="U1207" s="16"/>
      <c r="V1207" s="16"/>
      <c r="W1207" s="16"/>
    </row>
    <row r="1208" customFormat="false" ht="14.25" hidden="false" customHeight="true" outlineLevel="0" collapsed="false">
      <c r="A1208" s="16"/>
      <c r="B1208" s="16"/>
      <c r="C1208" s="16"/>
      <c r="D1208" s="16"/>
      <c r="E1208" s="16"/>
      <c r="F1208" s="16"/>
      <c r="G1208" s="16"/>
      <c r="H1208" s="16"/>
      <c r="I1208" s="16"/>
      <c r="J1208" s="16"/>
      <c r="K1208" s="16"/>
      <c r="L1208" s="16"/>
      <c r="M1208" s="16"/>
      <c r="N1208" s="16"/>
      <c r="O1208" s="16"/>
      <c r="P1208" s="16"/>
      <c r="Q1208" s="16"/>
      <c r="R1208" s="16"/>
      <c r="S1208" s="16"/>
      <c r="T1208" s="16"/>
      <c r="U1208" s="16"/>
      <c r="V1208" s="16"/>
      <c r="W1208" s="16"/>
    </row>
    <row r="1209" customFormat="false" ht="14.25" hidden="false" customHeight="true" outlineLevel="0" collapsed="false">
      <c r="A1209" s="16"/>
      <c r="B1209" s="16"/>
      <c r="C1209" s="16"/>
      <c r="D1209" s="16"/>
      <c r="E1209" s="16"/>
      <c r="F1209" s="16"/>
      <c r="G1209" s="16"/>
      <c r="H1209" s="16"/>
      <c r="I1209" s="16"/>
      <c r="J1209" s="16"/>
      <c r="K1209" s="16"/>
      <c r="L1209" s="16"/>
      <c r="M1209" s="16"/>
      <c r="N1209" s="16"/>
      <c r="O1209" s="16"/>
      <c r="P1209" s="16"/>
      <c r="Q1209" s="16"/>
      <c r="R1209" s="16"/>
      <c r="S1209" s="16"/>
      <c r="T1209" s="16"/>
      <c r="U1209" s="16"/>
      <c r="V1209" s="16"/>
      <c r="W1209" s="16"/>
    </row>
    <row r="1210" customFormat="false" ht="14.25" hidden="false" customHeight="true" outlineLevel="0" collapsed="false">
      <c r="A1210" s="16"/>
      <c r="B1210" s="16"/>
      <c r="C1210" s="16"/>
      <c r="D1210" s="16"/>
      <c r="E1210" s="16"/>
      <c r="F1210" s="16"/>
      <c r="G1210" s="16"/>
      <c r="H1210" s="16"/>
      <c r="I1210" s="16"/>
      <c r="J1210" s="16"/>
      <c r="K1210" s="16"/>
      <c r="L1210" s="16"/>
      <c r="M1210" s="16"/>
      <c r="N1210" s="16"/>
      <c r="O1210" s="16"/>
      <c r="P1210" s="16"/>
      <c r="Q1210" s="16"/>
      <c r="R1210" s="16"/>
      <c r="S1210" s="16"/>
      <c r="T1210" s="16"/>
      <c r="U1210" s="16"/>
      <c r="V1210" s="16"/>
      <c r="W1210" s="16"/>
    </row>
    <row r="1211" customFormat="false" ht="14.25" hidden="false" customHeight="true" outlineLevel="0" collapsed="false">
      <c r="A1211" s="16"/>
      <c r="B1211" s="16"/>
      <c r="C1211" s="16"/>
      <c r="D1211" s="16"/>
      <c r="E1211" s="16"/>
      <c r="F1211" s="16"/>
      <c r="G1211" s="16"/>
      <c r="H1211" s="16"/>
      <c r="I1211" s="16"/>
      <c r="J1211" s="16"/>
      <c r="K1211" s="16"/>
      <c r="L1211" s="16"/>
      <c r="M1211" s="16"/>
      <c r="N1211" s="16"/>
      <c r="O1211" s="16"/>
      <c r="P1211" s="16"/>
      <c r="Q1211" s="16"/>
      <c r="R1211" s="16"/>
      <c r="S1211" s="16"/>
      <c r="T1211" s="16"/>
      <c r="U1211" s="16"/>
      <c r="V1211" s="16"/>
      <c r="W1211" s="16"/>
    </row>
    <row r="1212" customFormat="false" ht="14.25" hidden="false" customHeight="true" outlineLevel="0" collapsed="false">
      <c r="A1212" s="16"/>
      <c r="B1212" s="16"/>
      <c r="C1212" s="16"/>
      <c r="D1212" s="16"/>
      <c r="E1212" s="16"/>
      <c r="F1212" s="16"/>
      <c r="G1212" s="16"/>
      <c r="H1212" s="16"/>
      <c r="I1212" s="16"/>
      <c r="J1212" s="16"/>
      <c r="K1212" s="16"/>
      <c r="L1212" s="16"/>
      <c r="M1212" s="16"/>
      <c r="N1212" s="16"/>
      <c r="O1212" s="16"/>
      <c r="P1212" s="16"/>
      <c r="Q1212" s="16"/>
      <c r="R1212" s="16"/>
      <c r="S1212" s="16"/>
      <c r="T1212" s="16"/>
      <c r="U1212" s="16"/>
      <c r="V1212" s="16"/>
      <c r="W1212" s="16"/>
    </row>
    <row r="1213" customFormat="false" ht="14.25" hidden="false" customHeight="true" outlineLevel="0" collapsed="false">
      <c r="A1213" s="16"/>
      <c r="B1213" s="16"/>
      <c r="C1213" s="16"/>
      <c r="D1213" s="16"/>
      <c r="E1213" s="16"/>
      <c r="F1213" s="16"/>
      <c r="G1213" s="16"/>
      <c r="H1213" s="16"/>
      <c r="I1213" s="16"/>
      <c r="J1213" s="16"/>
      <c r="K1213" s="16"/>
      <c r="L1213" s="16"/>
      <c r="M1213" s="16"/>
      <c r="N1213" s="16"/>
      <c r="O1213" s="16"/>
      <c r="P1213" s="16"/>
      <c r="Q1213" s="16"/>
      <c r="R1213" s="16"/>
      <c r="S1213" s="16"/>
      <c r="T1213" s="16"/>
      <c r="U1213" s="16"/>
      <c r="V1213" s="16"/>
      <c r="W1213" s="16"/>
    </row>
    <row r="1214" customFormat="false" ht="14.25" hidden="false" customHeight="true" outlineLevel="0" collapsed="false">
      <c r="A1214" s="16"/>
      <c r="B1214" s="16"/>
      <c r="C1214" s="16"/>
      <c r="D1214" s="16"/>
      <c r="E1214" s="16"/>
      <c r="F1214" s="16"/>
      <c r="G1214" s="16"/>
      <c r="H1214" s="16"/>
      <c r="I1214" s="16"/>
      <c r="J1214" s="16"/>
      <c r="K1214" s="16"/>
      <c r="L1214" s="16"/>
      <c r="M1214" s="16"/>
      <c r="N1214" s="16"/>
      <c r="O1214" s="16"/>
      <c r="P1214" s="16"/>
      <c r="Q1214" s="16"/>
      <c r="R1214" s="16"/>
      <c r="S1214" s="16"/>
      <c r="T1214" s="16"/>
      <c r="U1214" s="16"/>
      <c r="V1214" s="16"/>
      <c r="W1214" s="16"/>
    </row>
    <row r="1215" customFormat="false" ht="14.25" hidden="false" customHeight="true" outlineLevel="0" collapsed="false">
      <c r="A1215" s="16"/>
      <c r="B1215" s="16"/>
      <c r="C1215" s="16"/>
      <c r="D1215" s="16"/>
      <c r="E1215" s="16"/>
      <c r="F1215" s="16"/>
      <c r="G1215" s="16"/>
      <c r="H1215" s="16"/>
      <c r="I1215" s="16"/>
      <c r="J1215" s="16"/>
      <c r="K1215" s="16"/>
      <c r="L1215" s="16"/>
      <c r="M1215" s="16"/>
      <c r="N1215" s="16"/>
      <c r="O1215" s="16"/>
      <c r="P1215" s="16"/>
      <c r="Q1215" s="16"/>
      <c r="R1215" s="16"/>
      <c r="S1215" s="16"/>
      <c r="T1215" s="16"/>
      <c r="U1215" s="16"/>
      <c r="V1215" s="16"/>
      <c r="W1215" s="16"/>
    </row>
    <row r="1216" customFormat="false" ht="14.25" hidden="false" customHeight="true" outlineLevel="0" collapsed="false">
      <c r="A1216" s="16"/>
      <c r="B1216" s="16"/>
      <c r="C1216" s="16"/>
      <c r="D1216" s="16"/>
      <c r="E1216" s="16"/>
      <c r="F1216" s="16"/>
      <c r="G1216" s="16"/>
      <c r="H1216" s="16"/>
      <c r="I1216" s="16"/>
      <c r="J1216" s="16"/>
      <c r="K1216" s="16"/>
      <c r="L1216" s="16"/>
      <c r="M1216" s="16"/>
      <c r="N1216" s="16"/>
      <c r="O1216" s="16"/>
      <c r="P1216" s="16"/>
      <c r="Q1216" s="16"/>
      <c r="R1216" s="16"/>
      <c r="S1216" s="16"/>
      <c r="T1216" s="16"/>
      <c r="U1216" s="16"/>
      <c r="V1216" s="16"/>
      <c r="W1216" s="16"/>
    </row>
    <row r="1217" customFormat="false" ht="14.25" hidden="false" customHeight="true" outlineLevel="0" collapsed="false">
      <c r="A1217" s="16"/>
      <c r="B1217" s="16"/>
      <c r="C1217" s="16"/>
      <c r="D1217" s="16"/>
      <c r="E1217" s="16"/>
      <c r="F1217" s="16"/>
      <c r="G1217" s="16"/>
      <c r="H1217" s="16"/>
      <c r="I1217" s="16"/>
      <c r="J1217" s="16"/>
      <c r="K1217" s="16"/>
      <c r="L1217" s="16"/>
      <c r="M1217" s="16"/>
      <c r="N1217" s="16"/>
      <c r="O1217" s="16"/>
      <c r="P1217" s="16"/>
      <c r="Q1217" s="16"/>
      <c r="R1217" s="16"/>
      <c r="S1217" s="16"/>
      <c r="T1217" s="16"/>
      <c r="U1217" s="16"/>
      <c r="V1217" s="16"/>
      <c r="W1217" s="16"/>
    </row>
    <row r="1218" customFormat="false" ht="14.25" hidden="false" customHeight="true" outlineLevel="0" collapsed="false">
      <c r="A1218" s="16"/>
      <c r="B1218" s="16"/>
      <c r="C1218" s="16"/>
      <c r="D1218" s="16"/>
      <c r="E1218" s="16"/>
      <c r="F1218" s="16"/>
      <c r="G1218" s="16"/>
      <c r="H1218" s="16"/>
      <c r="I1218" s="16"/>
      <c r="J1218" s="16"/>
      <c r="K1218" s="16"/>
      <c r="L1218" s="16"/>
      <c r="M1218" s="16"/>
      <c r="N1218" s="16"/>
      <c r="O1218" s="16"/>
      <c r="P1218" s="16"/>
      <c r="Q1218" s="16"/>
      <c r="R1218" s="16"/>
      <c r="S1218" s="16"/>
      <c r="T1218" s="16"/>
      <c r="U1218" s="16"/>
      <c r="V1218" s="16"/>
      <c r="W1218" s="16"/>
    </row>
    <row r="1219" customFormat="false" ht="14.25" hidden="false" customHeight="true" outlineLevel="0" collapsed="false">
      <c r="A1219" s="16"/>
      <c r="B1219" s="16"/>
      <c r="C1219" s="16"/>
      <c r="D1219" s="16"/>
      <c r="E1219" s="16"/>
      <c r="F1219" s="16"/>
      <c r="G1219" s="16"/>
      <c r="H1219" s="16"/>
      <c r="I1219" s="16"/>
      <c r="J1219" s="16"/>
      <c r="K1219" s="16"/>
      <c r="L1219" s="16"/>
      <c r="M1219" s="16"/>
      <c r="N1219" s="16"/>
      <c r="O1219" s="16"/>
      <c r="P1219" s="16"/>
      <c r="Q1219" s="16"/>
      <c r="R1219" s="16"/>
      <c r="S1219" s="16"/>
      <c r="T1219" s="16"/>
      <c r="U1219" s="16"/>
      <c r="V1219" s="16"/>
      <c r="W1219" s="16"/>
    </row>
    <row r="1220" customFormat="false" ht="14.25" hidden="false" customHeight="true" outlineLevel="0" collapsed="false">
      <c r="A1220" s="16"/>
      <c r="B1220" s="16"/>
      <c r="C1220" s="16"/>
      <c r="D1220" s="16"/>
      <c r="E1220" s="16"/>
      <c r="F1220" s="16"/>
      <c r="G1220" s="16"/>
      <c r="H1220" s="16"/>
      <c r="I1220" s="16"/>
      <c r="J1220" s="16"/>
      <c r="K1220" s="16"/>
      <c r="L1220" s="16"/>
      <c r="M1220" s="16"/>
      <c r="N1220" s="16"/>
      <c r="O1220" s="16"/>
      <c r="P1220" s="16"/>
      <c r="Q1220" s="16"/>
      <c r="R1220" s="16"/>
      <c r="S1220" s="16"/>
      <c r="T1220" s="16"/>
      <c r="U1220" s="16"/>
      <c r="V1220" s="16"/>
      <c r="W1220" s="16"/>
    </row>
    <row r="1221" customFormat="false" ht="14.25" hidden="false" customHeight="true" outlineLevel="0" collapsed="false">
      <c r="A1221" s="16"/>
      <c r="B1221" s="16"/>
      <c r="C1221" s="16"/>
      <c r="D1221" s="16"/>
      <c r="E1221" s="16"/>
      <c r="F1221" s="16"/>
      <c r="G1221" s="16"/>
      <c r="H1221" s="16"/>
      <c r="I1221" s="16"/>
      <c r="J1221" s="16"/>
      <c r="K1221" s="16"/>
      <c r="L1221" s="16"/>
      <c r="M1221" s="16"/>
      <c r="N1221" s="16"/>
      <c r="O1221" s="16"/>
      <c r="P1221" s="16"/>
      <c r="Q1221" s="16"/>
      <c r="R1221" s="16"/>
      <c r="S1221" s="16"/>
      <c r="T1221" s="16"/>
      <c r="U1221" s="16"/>
      <c r="V1221" s="16"/>
      <c r="W1221" s="16"/>
    </row>
    <row r="1222" customFormat="false" ht="14.25" hidden="false" customHeight="true" outlineLevel="0" collapsed="false">
      <c r="A1222" s="16"/>
      <c r="B1222" s="16"/>
      <c r="C1222" s="16"/>
      <c r="D1222" s="16"/>
      <c r="E1222" s="16"/>
      <c r="F1222" s="16"/>
      <c r="G1222" s="16"/>
      <c r="H1222" s="16"/>
      <c r="I1222" s="16"/>
      <c r="J1222" s="16"/>
      <c r="K1222" s="16"/>
      <c r="L1222" s="16"/>
      <c r="M1222" s="16"/>
      <c r="N1222" s="16"/>
      <c r="O1222" s="16"/>
      <c r="P1222" s="16"/>
      <c r="Q1222" s="16"/>
      <c r="R1222" s="16"/>
      <c r="S1222" s="16"/>
      <c r="T1222" s="16"/>
      <c r="U1222" s="16"/>
      <c r="V1222" s="16"/>
      <c r="W1222" s="16"/>
    </row>
    <row r="1223" customFormat="false" ht="14.25" hidden="false" customHeight="true" outlineLevel="0" collapsed="false">
      <c r="A1223" s="16"/>
      <c r="B1223" s="16"/>
      <c r="C1223" s="16"/>
      <c r="D1223" s="16"/>
      <c r="E1223" s="16"/>
      <c r="F1223" s="16"/>
      <c r="G1223" s="16"/>
      <c r="H1223" s="16"/>
      <c r="I1223" s="16"/>
      <c r="J1223" s="16"/>
      <c r="K1223" s="16"/>
      <c r="L1223" s="16"/>
      <c r="M1223" s="16"/>
      <c r="N1223" s="16"/>
      <c r="O1223" s="16"/>
      <c r="P1223" s="16"/>
      <c r="Q1223" s="16"/>
      <c r="R1223" s="16"/>
      <c r="S1223" s="16"/>
      <c r="T1223" s="16"/>
      <c r="U1223" s="16"/>
      <c r="V1223" s="16"/>
      <c r="W1223" s="16"/>
    </row>
    <row r="1224" customFormat="false" ht="14.25" hidden="false" customHeight="true" outlineLevel="0" collapsed="false">
      <c r="A1224" s="16"/>
      <c r="B1224" s="16"/>
      <c r="C1224" s="16"/>
      <c r="D1224" s="16"/>
      <c r="E1224" s="16"/>
      <c r="F1224" s="16"/>
      <c r="G1224" s="16"/>
      <c r="H1224" s="16"/>
      <c r="I1224" s="16"/>
      <c r="J1224" s="16"/>
      <c r="K1224" s="16"/>
      <c r="L1224" s="16"/>
      <c r="M1224" s="16"/>
      <c r="N1224" s="16"/>
      <c r="O1224" s="16"/>
      <c r="P1224" s="16"/>
      <c r="Q1224" s="16"/>
      <c r="R1224" s="16"/>
      <c r="S1224" s="16"/>
      <c r="T1224" s="16"/>
      <c r="U1224" s="16"/>
      <c r="V1224" s="16"/>
      <c r="W1224" s="16"/>
    </row>
    <row r="1225" customFormat="false" ht="14.25" hidden="false" customHeight="true" outlineLevel="0" collapsed="false">
      <c r="A1225" s="16"/>
      <c r="B1225" s="16"/>
      <c r="C1225" s="16"/>
      <c r="D1225" s="16"/>
      <c r="E1225" s="16"/>
      <c r="F1225" s="16"/>
      <c r="G1225" s="16"/>
      <c r="H1225" s="16"/>
      <c r="I1225" s="16"/>
      <c r="J1225" s="16"/>
      <c r="K1225" s="16"/>
      <c r="L1225" s="16"/>
      <c r="M1225" s="16"/>
      <c r="N1225" s="16"/>
      <c r="O1225" s="16"/>
      <c r="P1225" s="16"/>
      <c r="Q1225" s="16"/>
      <c r="R1225" s="16"/>
      <c r="S1225" s="16"/>
      <c r="T1225" s="16"/>
      <c r="U1225" s="16"/>
      <c r="V1225" s="16"/>
      <c r="W1225" s="16"/>
    </row>
    <row r="1226" customFormat="false" ht="14.25" hidden="false" customHeight="true" outlineLevel="0" collapsed="false">
      <c r="A1226" s="16"/>
      <c r="B1226" s="16"/>
      <c r="C1226" s="16"/>
      <c r="D1226" s="16"/>
      <c r="E1226" s="16"/>
      <c r="F1226" s="16"/>
      <c r="G1226" s="16"/>
      <c r="H1226" s="16"/>
      <c r="I1226" s="16"/>
      <c r="J1226" s="16"/>
      <c r="K1226" s="16"/>
      <c r="L1226" s="16"/>
      <c r="M1226" s="16"/>
      <c r="N1226" s="16"/>
      <c r="O1226" s="16"/>
      <c r="P1226" s="16"/>
      <c r="Q1226" s="16"/>
      <c r="R1226" s="16"/>
      <c r="S1226" s="16"/>
      <c r="T1226" s="16"/>
      <c r="U1226" s="16"/>
      <c r="V1226" s="16"/>
      <c r="W1226" s="16"/>
    </row>
    <row r="1227" customFormat="false" ht="14.25" hidden="false" customHeight="true" outlineLevel="0" collapsed="false">
      <c r="A1227" s="16"/>
      <c r="B1227" s="16"/>
      <c r="C1227" s="16"/>
      <c r="D1227" s="16"/>
      <c r="E1227" s="16"/>
      <c r="F1227" s="16"/>
      <c r="G1227" s="16"/>
      <c r="H1227" s="16"/>
      <c r="I1227" s="16"/>
      <c r="J1227" s="16"/>
      <c r="K1227" s="16"/>
      <c r="L1227" s="16"/>
      <c r="M1227" s="16"/>
      <c r="N1227" s="16"/>
      <c r="O1227" s="16"/>
      <c r="P1227" s="16"/>
      <c r="Q1227" s="16"/>
      <c r="R1227" s="16"/>
      <c r="S1227" s="16"/>
      <c r="T1227" s="16"/>
      <c r="U1227" s="16"/>
      <c r="V1227" s="16"/>
      <c r="W1227" s="16"/>
    </row>
    <row r="1228" customFormat="false" ht="14.25" hidden="false" customHeight="true" outlineLevel="0" collapsed="false">
      <c r="A1228" s="16"/>
      <c r="B1228" s="16"/>
      <c r="C1228" s="16"/>
      <c r="D1228" s="16"/>
      <c r="E1228" s="16"/>
      <c r="F1228" s="16"/>
      <c r="G1228" s="16"/>
      <c r="H1228" s="16"/>
      <c r="I1228" s="16"/>
      <c r="J1228" s="16"/>
      <c r="K1228" s="16"/>
      <c r="L1228" s="16"/>
      <c r="M1228" s="16"/>
      <c r="N1228" s="16"/>
      <c r="O1228" s="16"/>
      <c r="P1228" s="16"/>
      <c r="Q1228" s="16"/>
      <c r="R1228" s="16"/>
      <c r="S1228" s="16"/>
      <c r="T1228" s="16"/>
      <c r="U1228" s="16"/>
      <c r="V1228" s="16"/>
      <c r="W1228" s="16"/>
    </row>
    <row r="1229" customFormat="false" ht="14.25" hidden="false" customHeight="true" outlineLevel="0" collapsed="false">
      <c r="A1229" s="16"/>
      <c r="B1229" s="16"/>
      <c r="C1229" s="16"/>
      <c r="D1229" s="16"/>
      <c r="E1229" s="16"/>
      <c r="F1229" s="16"/>
      <c r="G1229" s="16"/>
      <c r="H1229" s="16"/>
      <c r="I1229" s="16"/>
      <c r="J1229" s="16"/>
      <c r="K1229" s="16"/>
      <c r="L1229" s="16"/>
      <c r="M1229" s="16"/>
      <c r="N1229" s="16"/>
      <c r="O1229" s="16"/>
      <c r="P1229" s="16"/>
      <c r="Q1229" s="16"/>
      <c r="R1229" s="16"/>
      <c r="S1229" s="16"/>
      <c r="T1229" s="16"/>
      <c r="U1229" s="16"/>
      <c r="V1229" s="16"/>
      <c r="W1229" s="16"/>
    </row>
    <row r="1230" customFormat="false" ht="14.25" hidden="false" customHeight="true" outlineLevel="0" collapsed="false">
      <c r="A1230" s="16"/>
      <c r="B1230" s="16"/>
      <c r="C1230" s="16"/>
      <c r="D1230" s="16"/>
      <c r="E1230" s="16"/>
      <c r="F1230" s="16"/>
      <c r="G1230" s="16"/>
      <c r="H1230" s="16"/>
      <c r="I1230" s="16"/>
      <c r="J1230" s="16"/>
      <c r="K1230" s="16"/>
      <c r="L1230" s="16"/>
      <c r="M1230" s="16"/>
      <c r="N1230" s="16"/>
      <c r="O1230" s="16"/>
      <c r="P1230" s="16"/>
      <c r="Q1230" s="16"/>
      <c r="R1230" s="16"/>
      <c r="S1230" s="16"/>
      <c r="T1230" s="16"/>
      <c r="U1230" s="16"/>
      <c r="V1230" s="16"/>
      <c r="W1230" s="16"/>
    </row>
    <row r="1231" customFormat="false" ht="14.25" hidden="false" customHeight="true" outlineLevel="0" collapsed="false">
      <c r="A1231" s="16"/>
      <c r="B1231" s="16"/>
      <c r="C1231" s="16"/>
      <c r="D1231" s="16"/>
      <c r="E1231" s="16"/>
      <c r="F1231" s="16"/>
      <c r="G1231" s="16"/>
      <c r="H1231" s="16"/>
      <c r="I1231" s="16"/>
      <c r="J1231" s="16"/>
      <c r="K1231" s="16"/>
      <c r="L1231" s="16"/>
      <c r="M1231" s="16"/>
      <c r="N1231" s="16"/>
      <c r="O1231" s="16"/>
      <c r="P1231" s="16"/>
      <c r="Q1231" s="16"/>
      <c r="R1231" s="16"/>
      <c r="S1231" s="16"/>
      <c r="T1231" s="16"/>
      <c r="U1231" s="16"/>
      <c r="V1231" s="16"/>
      <c r="W1231" s="16"/>
    </row>
    <row r="1232" customFormat="false" ht="14.25" hidden="false" customHeight="true" outlineLevel="0" collapsed="false">
      <c r="A1232" s="16"/>
      <c r="B1232" s="16"/>
      <c r="C1232" s="16"/>
      <c r="D1232" s="16"/>
      <c r="E1232" s="16"/>
      <c r="F1232" s="16"/>
      <c r="G1232" s="16"/>
      <c r="H1232" s="16"/>
      <c r="I1232" s="16"/>
      <c r="J1232" s="16"/>
      <c r="K1232" s="16"/>
      <c r="L1232" s="16"/>
      <c r="M1232" s="16"/>
      <c r="N1232" s="16"/>
      <c r="O1232" s="16"/>
      <c r="P1232" s="16"/>
      <c r="Q1232" s="16"/>
      <c r="R1232" s="16"/>
      <c r="S1232" s="16"/>
      <c r="T1232" s="16"/>
      <c r="U1232" s="16"/>
      <c r="V1232" s="16"/>
      <c r="W1232" s="16"/>
    </row>
    <row r="1233" customFormat="false" ht="14.25" hidden="false" customHeight="true" outlineLevel="0" collapsed="false">
      <c r="A1233" s="16"/>
      <c r="B1233" s="16"/>
      <c r="C1233" s="16"/>
      <c r="D1233" s="16"/>
      <c r="E1233" s="16"/>
      <c r="F1233" s="16"/>
      <c r="G1233" s="16"/>
      <c r="H1233" s="16"/>
      <c r="I1233" s="16"/>
      <c r="J1233" s="16"/>
      <c r="K1233" s="16"/>
      <c r="L1233" s="16"/>
      <c r="M1233" s="16"/>
      <c r="N1233" s="16"/>
      <c r="O1233" s="16"/>
      <c r="P1233" s="16"/>
      <c r="Q1233" s="16"/>
      <c r="R1233" s="16"/>
      <c r="S1233" s="16"/>
      <c r="T1233" s="16"/>
      <c r="U1233" s="16"/>
      <c r="V1233" s="16"/>
      <c r="W1233" s="16"/>
    </row>
    <row r="1234" customFormat="false" ht="14.25" hidden="false" customHeight="true" outlineLevel="0" collapsed="false">
      <c r="A1234" s="16"/>
      <c r="B1234" s="16"/>
      <c r="C1234" s="16"/>
      <c r="D1234" s="16"/>
      <c r="E1234" s="16"/>
      <c r="F1234" s="16"/>
      <c r="G1234" s="16"/>
      <c r="H1234" s="16"/>
      <c r="I1234" s="16"/>
      <c r="J1234" s="16"/>
      <c r="K1234" s="16"/>
      <c r="L1234" s="16"/>
      <c r="M1234" s="16"/>
      <c r="N1234" s="16"/>
      <c r="O1234" s="16"/>
      <c r="P1234" s="16"/>
      <c r="Q1234" s="16"/>
      <c r="R1234" s="16"/>
      <c r="S1234" s="16"/>
      <c r="T1234" s="16"/>
      <c r="U1234" s="16"/>
      <c r="V1234" s="16"/>
      <c r="W1234" s="16"/>
    </row>
    <row r="1235" customFormat="false" ht="14.25" hidden="false" customHeight="true" outlineLevel="0" collapsed="false">
      <c r="A1235" s="16"/>
      <c r="B1235" s="16"/>
      <c r="C1235" s="16"/>
      <c r="D1235" s="16"/>
      <c r="E1235" s="16"/>
      <c r="F1235" s="16"/>
      <c r="G1235" s="16"/>
      <c r="H1235" s="16"/>
      <c r="I1235" s="16"/>
      <c r="J1235" s="16"/>
      <c r="K1235" s="16"/>
      <c r="L1235" s="16"/>
      <c r="M1235" s="16"/>
      <c r="N1235" s="16"/>
      <c r="O1235" s="16"/>
      <c r="P1235" s="16"/>
      <c r="Q1235" s="16"/>
      <c r="R1235" s="16"/>
      <c r="S1235" s="16"/>
      <c r="T1235" s="16"/>
      <c r="U1235" s="16"/>
      <c r="V1235" s="16"/>
      <c r="W1235" s="16"/>
    </row>
    <row r="1236" customFormat="false" ht="14.25" hidden="false" customHeight="true" outlineLevel="0" collapsed="false">
      <c r="A1236" s="16"/>
      <c r="B1236" s="16"/>
      <c r="C1236" s="16"/>
      <c r="D1236" s="16"/>
      <c r="E1236" s="16"/>
      <c r="F1236" s="16"/>
      <c r="G1236" s="16"/>
      <c r="H1236" s="16"/>
      <c r="I1236" s="16"/>
      <c r="J1236" s="16"/>
      <c r="K1236" s="16"/>
      <c r="L1236" s="16"/>
      <c r="M1236" s="16"/>
      <c r="N1236" s="16"/>
      <c r="O1236" s="16"/>
      <c r="P1236" s="16"/>
      <c r="Q1236" s="16"/>
      <c r="R1236" s="16"/>
      <c r="S1236" s="16"/>
      <c r="T1236" s="16"/>
      <c r="U1236" s="16"/>
      <c r="V1236" s="16"/>
      <c r="W1236" s="16"/>
    </row>
    <row r="1237" customFormat="false" ht="14.25" hidden="false" customHeight="true" outlineLevel="0" collapsed="false">
      <c r="A1237" s="16"/>
      <c r="B1237" s="16"/>
      <c r="C1237" s="16"/>
      <c r="D1237" s="16"/>
      <c r="E1237" s="16"/>
      <c r="F1237" s="16"/>
      <c r="G1237" s="16"/>
      <c r="H1237" s="16"/>
      <c r="I1237" s="16"/>
      <c r="J1237" s="16"/>
      <c r="K1237" s="16"/>
      <c r="L1237" s="16"/>
      <c r="M1237" s="16"/>
      <c r="N1237" s="16"/>
      <c r="O1237" s="16"/>
      <c r="P1237" s="16"/>
      <c r="Q1237" s="16"/>
      <c r="R1237" s="16"/>
      <c r="S1237" s="16"/>
      <c r="T1237" s="16"/>
      <c r="U1237" s="16"/>
      <c r="V1237" s="16"/>
      <c r="W1237" s="16"/>
    </row>
    <row r="1238" customFormat="false" ht="14.25" hidden="false" customHeight="true" outlineLevel="0" collapsed="false">
      <c r="A1238" s="16"/>
      <c r="B1238" s="16"/>
      <c r="C1238" s="16"/>
      <c r="D1238" s="16"/>
      <c r="E1238" s="16"/>
      <c r="F1238" s="16"/>
      <c r="G1238" s="16"/>
      <c r="H1238" s="16"/>
      <c r="I1238" s="16"/>
      <c r="J1238" s="16"/>
      <c r="K1238" s="16"/>
      <c r="L1238" s="16"/>
      <c r="M1238" s="16"/>
      <c r="N1238" s="16"/>
      <c r="O1238" s="16"/>
      <c r="P1238" s="16"/>
      <c r="Q1238" s="16"/>
      <c r="R1238" s="16"/>
      <c r="S1238" s="16"/>
      <c r="T1238" s="16"/>
      <c r="U1238" s="16"/>
      <c r="V1238" s="16"/>
      <c r="W1238" s="16"/>
    </row>
    <row r="1239" customFormat="false" ht="14.25" hidden="false" customHeight="true" outlineLevel="0" collapsed="false">
      <c r="A1239" s="16"/>
      <c r="B1239" s="16"/>
      <c r="C1239" s="16"/>
      <c r="D1239" s="16"/>
      <c r="E1239" s="16"/>
      <c r="F1239" s="16"/>
      <c r="G1239" s="16"/>
      <c r="H1239" s="16"/>
      <c r="I1239" s="16"/>
      <c r="J1239" s="16"/>
      <c r="K1239" s="16"/>
      <c r="L1239" s="16"/>
      <c r="M1239" s="16"/>
      <c r="N1239" s="16"/>
      <c r="O1239" s="16"/>
      <c r="P1239" s="16"/>
      <c r="Q1239" s="16"/>
      <c r="R1239" s="16"/>
      <c r="S1239" s="16"/>
      <c r="T1239" s="16"/>
      <c r="U1239" s="16"/>
      <c r="V1239" s="16"/>
      <c r="W1239" s="16"/>
    </row>
    <row r="1240" customFormat="false" ht="14.25" hidden="false" customHeight="true" outlineLevel="0" collapsed="false">
      <c r="A1240" s="16"/>
      <c r="B1240" s="16"/>
      <c r="C1240" s="16"/>
      <c r="D1240" s="16"/>
      <c r="E1240" s="16"/>
      <c r="F1240" s="16"/>
      <c r="G1240" s="16"/>
      <c r="H1240" s="16"/>
      <c r="I1240" s="16"/>
      <c r="J1240" s="16"/>
      <c r="K1240" s="16"/>
      <c r="L1240" s="16"/>
      <c r="M1240" s="16"/>
      <c r="N1240" s="16"/>
      <c r="O1240" s="16"/>
      <c r="P1240" s="16"/>
      <c r="Q1240" s="16"/>
      <c r="R1240" s="16"/>
      <c r="S1240" s="16"/>
      <c r="T1240" s="16"/>
      <c r="U1240" s="16"/>
      <c r="V1240" s="16"/>
      <c r="W1240" s="16"/>
    </row>
    <row r="1241" customFormat="false" ht="14.25" hidden="false" customHeight="true" outlineLevel="0" collapsed="false">
      <c r="A1241" s="16"/>
      <c r="B1241" s="16"/>
      <c r="C1241" s="16"/>
      <c r="D1241" s="16"/>
      <c r="E1241" s="16"/>
      <c r="F1241" s="16"/>
      <c r="G1241" s="16"/>
      <c r="H1241" s="16"/>
      <c r="I1241" s="16"/>
      <c r="J1241" s="16"/>
      <c r="K1241" s="16"/>
      <c r="L1241" s="16"/>
      <c r="M1241" s="16"/>
      <c r="N1241" s="16"/>
      <c r="O1241" s="16"/>
      <c r="P1241" s="16"/>
      <c r="Q1241" s="16"/>
      <c r="R1241" s="16"/>
      <c r="S1241" s="16"/>
      <c r="T1241" s="16"/>
      <c r="U1241" s="16"/>
      <c r="V1241" s="16"/>
      <c r="W1241" s="16"/>
    </row>
    <row r="1242" customFormat="false" ht="14.25" hidden="false" customHeight="true" outlineLevel="0" collapsed="false">
      <c r="A1242" s="16"/>
      <c r="B1242" s="16"/>
      <c r="C1242" s="16"/>
      <c r="D1242" s="16"/>
      <c r="E1242" s="16"/>
      <c r="F1242" s="16"/>
      <c r="G1242" s="16"/>
      <c r="H1242" s="16"/>
      <c r="I1242" s="16"/>
      <c r="J1242" s="16"/>
      <c r="K1242" s="16"/>
      <c r="L1242" s="16"/>
      <c r="M1242" s="16"/>
      <c r="N1242" s="16"/>
      <c r="O1242" s="16"/>
      <c r="P1242" s="16"/>
      <c r="Q1242" s="16"/>
      <c r="R1242" s="16"/>
      <c r="S1242" s="16"/>
      <c r="T1242" s="16"/>
      <c r="U1242" s="16"/>
      <c r="V1242" s="16"/>
      <c r="W1242" s="16"/>
    </row>
    <row r="1243" customFormat="false" ht="14.25" hidden="false" customHeight="true" outlineLevel="0" collapsed="false">
      <c r="A1243" s="16"/>
      <c r="B1243" s="16"/>
      <c r="C1243" s="16"/>
      <c r="D1243" s="16"/>
      <c r="E1243" s="16"/>
      <c r="F1243" s="16"/>
      <c r="G1243" s="16"/>
      <c r="H1243" s="16"/>
      <c r="I1243" s="16"/>
      <c r="J1243" s="16"/>
      <c r="K1243" s="16"/>
      <c r="L1243" s="16"/>
      <c r="M1243" s="16"/>
      <c r="N1243" s="16"/>
      <c r="O1243" s="16"/>
      <c r="P1243" s="16"/>
      <c r="Q1243" s="16"/>
      <c r="R1243" s="16"/>
      <c r="S1243" s="16"/>
      <c r="T1243" s="16"/>
      <c r="U1243" s="16"/>
      <c r="V1243" s="16"/>
      <c r="W1243" s="16"/>
    </row>
    <row r="1244" customFormat="false" ht="14.25" hidden="false" customHeight="true" outlineLevel="0" collapsed="false">
      <c r="A1244" s="16"/>
      <c r="B1244" s="16"/>
      <c r="C1244" s="16"/>
      <c r="D1244" s="16"/>
      <c r="E1244" s="16"/>
      <c r="F1244" s="16"/>
      <c r="G1244" s="16"/>
      <c r="H1244" s="16"/>
      <c r="I1244" s="16"/>
      <c r="J1244" s="16"/>
      <c r="K1244" s="16"/>
      <c r="L1244" s="16"/>
      <c r="M1244" s="16"/>
      <c r="N1244" s="16"/>
      <c r="O1244" s="16"/>
      <c r="P1244" s="16"/>
      <c r="Q1244" s="16"/>
      <c r="R1244" s="16"/>
      <c r="S1244" s="16"/>
      <c r="T1244" s="16"/>
      <c r="U1244" s="16"/>
      <c r="V1244" s="16"/>
      <c r="W1244" s="16"/>
    </row>
    <row r="1245" customFormat="false" ht="14.25" hidden="false" customHeight="true" outlineLevel="0" collapsed="false">
      <c r="A1245" s="16"/>
      <c r="B1245" s="16"/>
      <c r="C1245" s="16"/>
      <c r="D1245" s="16"/>
      <c r="E1245" s="16"/>
      <c r="F1245" s="16"/>
      <c r="G1245" s="16"/>
      <c r="H1245" s="16"/>
      <c r="I1245" s="16"/>
      <c r="J1245" s="16"/>
      <c r="K1245" s="16"/>
      <c r="L1245" s="16"/>
      <c r="M1245" s="16"/>
      <c r="N1245" s="16"/>
      <c r="O1245" s="16"/>
      <c r="P1245" s="16"/>
      <c r="Q1245" s="16"/>
      <c r="R1245" s="16"/>
      <c r="S1245" s="16"/>
      <c r="T1245" s="16"/>
      <c r="U1245" s="16"/>
      <c r="V1245" s="16"/>
      <c r="W1245" s="16"/>
    </row>
    <row r="1246" customFormat="false" ht="14.25" hidden="false" customHeight="true" outlineLevel="0" collapsed="false">
      <c r="A1246" s="16"/>
      <c r="B1246" s="16"/>
      <c r="C1246" s="16"/>
      <c r="D1246" s="16"/>
      <c r="E1246" s="16"/>
      <c r="F1246" s="16"/>
      <c r="G1246" s="16"/>
      <c r="H1246" s="16"/>
      <c r="I1246" s="16"/>
      <c r="J1246" s="16"/>
      <c r="K1246" s="16"/>
      <c r="L1246" s="16"/>
      <c r="M1246" s="16"/>
      <c r="N1246" s="16"/>
      <c r="O1246" s="16"/>
      <c r="P1246" s="16"/>
      <c r="Q1246" s="16"/>
      <c r="R1246" s="16"/>
      <c r="S1246" s="16"/>
      <c r="T1246" s="16"/>
      <c r="U1246" s="16"/>
      <c r="V1246" s="16"/>
      <c r="W1246" s="16"/>
    </row>
    <row r="1247" customFormat="false" ht="14.25" hidden="false" customHeight="true" outlineLevel="0" collapsed="false">
      <c r="A1247" s="16"/>
      <c r="B1247" s="16"/>
      <c r="C1247" s="16"/>
      <c r="D1247" s="16"/>
      <c r="E1247" s="16"/>
      <c r="F1247" s="16"/>
      <c r="G1247" s="16"/>
      <c r="H1247" s="16"/>
      <c r="I1247" s="16"/>
      <c r="J1247" s="16"/>
      <c r="K1247" s="16"/>
      <c r="L1247" s="16"/>
      <c r="M1247" s="16"/>
      <c r="N1247" s="16"/>
      <c r="O1247" s="16"/>
      <c r="P1247" s="16"/>
      <c r="Q1247" s="16"/>
      <c r="R1247" s="16"/>
      <c r="S1247" s="16"/>
      <c r="T1247" s="16"/>
      <c r="U1247" s="16"/>
      <c r="V1247" s="16"/>
      <c r="W1247" s="16"/>
    </row>
    <row r="1248" customFormat="false" ht="14.25" hidden="false" customHeight="true" outlineLevel="0" collapsed="false">
      <c r="A1248" s="16"/>
      <c r="B1248" s="16"/>
      <c r="C1248" s="16"/>
      <c r="D1248" s="16"/>
      <c r="E1248" s="16"/>
      <c r="F1248" s="16"/>
      <c r="G1248" s="16"/>
      <c r="H1248" s="16"/>
      <c r="I1248" s="16"/>
      <c r="J1248" s="16"/>
      <c r="K1248" s="16"/>
      <c r="L1248" s="16"/>
      <c r="M1248" s="16"/>
      <c r="N1248" s="16"/>
      <c r="O1248" s="16"/>
      <c r="P1248" s="16"/>
      <c r="Q1248" s="16"/>
      <c r="R1248" s="16"/>
      <c r="S1248" s="16"/>
      <c r="T1248" s="16"/>
      <c r="U1248" s="16"/>
      <c r="V1248" s="16"/>
      <c r="W1248" s="16"/>
    </row>
    <row r="1249" customFormat="false" ht="14.25" hidden="false" customHeight="true" outlineLevel="0" collapsed="false">
      <c r="A1249" s="16"/>
      <c r="B1249" s="16"/>
      <c r="C1249" s="16"/>
      <c r="D1249" s="16"/>
      <c r="E1249" s="16"/>
      <c r="F1249" s="16"/>
      <c r="G1249" s="16"/>
      <c r="H1249" s="16"/>
      <c r="I1249" s="16"/>
      <c r="J1249" s="16"/>
      <c r="K1249" s="16"/>
      <c r="L1249" s="16"/>
      <c r="M1249" s="16"/>
      <c r="N1249" s="16"/>
      <c r="O1249" s="16"/>
      <c r="P1249" s="16"/>
      <c r="Q1249" s="16"/>
      <c r="R1249" s="16"/>
      <c r="S1249" s="16"/>
      <c r="T1249" s="16"/>
      <c r="U1249" s="16"/>
      <c r="V1249" s="16"/>
      <c r="W1249" s="16"/>
    </row>
    <row r="1250" customFormat="false" ht="14.25" hidden="false" customHeight="true" outlineLevel="0" collapsed="false">
      <c r="A1250" s="16"/>
      <c r="B1250" s="16"/>
      <c r="C1250" s="16"/>
      <c r="D1250" s="16"/>
      <c r="E1250" s="16"/>
      <c r="F1250" s="16"/>
      <c r="G1250" s="16"/>
      <c r="H1250" s="16"/>
      <c r="I1250" s="16"/>
      <c r="J1250" s="16"/>
      <c r="K1250" s="16"/>
      <c r="L1250" s="16"/>
      <c r="M1250" s="16"/>
      <c r="N1250" s="16"/>
      <c r="O1250" s="16"/>
      <c r="P1250" s="16"/>
      <c r="Q1250" s="16"/>
      <c r="R1250" s="16"/>
      <c r="S1250" s="16"/>
      <c r="T1250" s="16"/>
      <c r="U1250" s="16"/>
      <c r="V1250" s="16"/>
      <c r="W1250" s="16"/>
    </row>
    <row r="1251" customFormat="false" ht="14.25" hidden="false" customHeight="true" outlineLevel="0" collapsed="false">
      <c r="A1251" s="16"/>
      <c r="B1251" s="16"/>
      <c r="C1251" s="16"/>
      <c r="D1251" s="16"/>
      <c r="E1251" s="16"/>
      <c r="F1251" s="16"/>
      <c r="G1251" s="16"/>
      <c r="H1251" s="16"/>
      <c r="I1251" s="16"/>
      <c r="J1251" s="16"/>
      <c r="K1251" s="16"/>
      <c r="L1251" s="16"/>
      <c r="M1251" s="16"/>
      <c r="N1251" s="16"/>
      <c r="O1251" s="16"/>
      <c r="P1251" s="16"/>
      <c r="Q1251" s="16"/>
      <c r="R1251" s="16"/>
      <c r="S1251" s="16"/>
      <c r="T1251" s="16"/>
      <c r="U1251" s="16"/>
      <c r="V1251" s="16"/>
      <c r="W1251" s="16"/>
    </row>
    <row r="1252" customFormat="false" ht="14.25" hidden="false" customHeight="true" outlineLevel="0" collapsed="false">
      <c r="A1252" s="16"/>
      <c r="B1252" s="16"/>
      <c r="C1252" s="16"/>
      <c r="D1252" s="16"/>
      <c r="E1252" s="16"/>
      <c r="F1252" s="16"/>
      <c r="G1252" s="16"/>
      <c r="H1252" s="16"/>
      <c r="I1252" s="16"/>
      <c r="J1252" s="16"/>
      <c r="K1252" s="16"/>
      <c r="L1252" s="16"/>
      <c r="M1252" s="16"/>
      <c r="N1252" s="16"/>
      <c r="O1252" s="16"/>
      <c r="P1252" s="16"/>
      <c r="Q1252" s="16"/>
      <c r="R1252" s="16"/>
      <c r="S1252" s="16"/>
      <c r="T1252" s="16"/>
      <c r="U1252" s="16"/>
      <c r="V1252" s="16"/>
      <c r="W1252" s="16"/>
    </row>
    <row r="1253" customFormat="false" ht="14.25" hidden="false" customHeight="true" outlineLevel="0" collapsed="false">
      <c r="A1253" s="16"/>
      <c r="B1253" s="16"/>
      <c r="C1253" s="16"/>
      <c r="D1253" s="16"/>
      <c r="E1253" s="16"/>
      <c r="F1253" s="16"/>
      <c r="G1253" s="16"/>
      <c r="H1253" s="16"/>
      <c r="I1253" s="16"/>
      <c r="J1253" s="16"/>
      <c r="K1253" s="16"/>
      <c r="L1253" s="16"/>
      <c r="M1253" s="16"/>
      <c r="N1253" s="16"/>
      <c r="O1253" s="16"/>
      <c r="P1253" s="16"/>
      <c r="Q1253" s="16"/>
      <c r="R1253" s="16"/>
      <c r="S1253" s="16"/>
      <c r="T1253" s="16"/>
      <c r="U1253" s="16"/>
      <c r="V1253" s="16"/>
      <c r="W1253" s="16"/>
    </row>
    <row r="1254" customFormat="false" ht="14.25" hidden="false" customHeight="true" outlineLevel="0" collapsed="false">
      <c r="A1254" s="16"/>
      <c r="B1254" s="16"/>
      <c r="C1254" s="16"/>
      <c r="D1254" s="16"/>
      <c r="E1254" s="16"/>
      <c r="F1254" s="16"/>
      <c r="G1254" s="16"/>
      <c r="H1254" s="16"/>
      <c r="I1254" s="16"/>
      <c r="J1254" s="16"/>
      <c r="K1254" s="16"/>
      <c r="L1254" s="16"/>
      <c r="M1254" s="16"/>
      <c r="N1254" s="16"/>
      <c r="O1254" s="16"/>
      <c r="P1254" s="16"/>
      <c r="Q1254" s="16"/>
      <c r="R1254" s="16"/>
      <c r="S1254" s="16"/>
      <c r="T1254" s="16"/>
      <c r="U1254" s="16"/>
      <c r="V1254" s="16"/>
      <c r="W1254" s="16"/>
    </row>
    <row r="1255" customFormat="false" ht="14.25" hidden="false" customHeight="true" outlineLevel="0" collapsed="false">
      <c r="A1255" s="16"/>
      <c r="B1255" s="16"/>
      <c r="C1255" s="16"/>
      <c r="D1255" s="16"/>
      <c r="E1255" s="16"/>
      <c r="F1255" s="16"/>
      <c r="G1255" s="16"/>
      <c r="H1255" s="16"/>
      <c r="I1255" s="16"/>
      <c r="J1255" s="16"/>
      <c r="K1255" s="16"/>
      <c r="L1255" s="16"/>
      <c r="M1255" s="16"/>
      <c r="N1255" s="16"/>
      <c r="O1255" s="16"/>
      <c r="P1255" s="16"/>
      <c r="Q1255" s="16"/>
      <c r="R1255" s="16"/>
      <c r="S1255" s="16"/>
      <c r="T1255" s="16"/>
      <c r="U1255" s="16"/>
      <c r="V1255" s="16"/>
      <c r="W1255" s="16"/>
    </row>
    <row r="1256" customFormat="false" ht="14.25" hidden="false" customHeight="true" outlineLevel="0" collapsed="false">
      <c r="A1256" s="16"/>
      <c r="B1256" s="16"/>
      <c r="C1256" s="16"/>
      <c r="D1256" s="16"/>
      <c r="E1256" s="16"/>
      <c r="F1256" s="16"/>
      <c r="G1256" s="16"/>
      <c r="H1256" s="16"/>
      <c r="I1256" s="16"/>
      <c r="J1256" s="16"/>
      <c r="K1256" s="16"/>
      <c r="L1256" s="16"/>
      <c r="M1256" s="16"/>
      <c r="N1256" s="16"/>
      <c r="O1256" s="16"/>
      <c r="P1256" s="16"/>
      <c r="Q1256" s="16"/>
      <c r="R1256" s="16"/>
      <c r="S1256" s="16"/>
      <c r="T1256" s="16"/>
      <c r="U1256" s="16"/>
      <c r="V1256" s="16"/>
      <c r="W1256" s="16"/>
    </row>
    <row r="1257" customFormat="false" ht="14.25" hidden="false" customHeight="true" outlineLevel="0" collapsed="false">
      <c r="A1257" s="16"/>
      <c r="B1257" s="16"/>
      <c r="C1257" s="16"/>
      <c r="D1257" s="16"/>
      <c r="E1257" s="16"/>
      <c r="F1257" s="16"/>
      <c r="G1257" s="16"/>
      <c r="H1257" s="16"/>
      <c r="I1257" s="16"/>
      <c r="J1257" s="16"/>
      <c r="K1257" s="16"/>
      <c r="L1257" s="16"/>
      <c r="M1257" s="16"/>
      <c r="N1257" s="16"/>
      <c r="O1257" s="16"/>
      <c r="P1257" s="16"/>
      <c r="Q1257" s="16"/>
      <c r="R1257" s="16"/>
      <c r="S1257" s="16"/>
      <c r="T1257" s="16"/>
      <c r="U1257" s="16"/>
      <c r="V1257" s="16"/>
      <c r="W1257" s="16"/>
    </row>
    <row r="1258" customFormat="false" ht="14.25" hidden="false" customHeight="true" outlineLevel="0" collapsed="false">
      <c r="A1258" s="16"/>
      <c r="B1258" s="16"/>
      <c r="C1258" s="16"/>
      <c r="D1258" s="16"/>
      <c r="E1258" s="16"/>
      <c r="F1258" s="16"/>
      <c r="G1258" s="16"/>
      <c r="H1258" s="16"/>
      <c r="I1258" s="16"/>
      <c r="J1258" s="16"/>
      <c r="K1258" s="16"/>
      <c r="L1258" s="16"/>
      <c r="M1258" s="16"/>
      <c r="N1258" s="16"/>
      <c r="O1258" s="16"/>
      <c r="P1258" s="16"/>
      <c r="Q1258" s="16"/>
      <c r="R1258" s="16"/>
      <c r="S1258" s="16"/>
      <c r="T1258" s="16"/>
      <c r="U1258" s="16"/>
      <c r="V1258" s="16"/>
      <c r="W1258" s="16"/>
    </row>
    <row r="1259" customFormat="false" ht="14.25" hidden="false" customHeight="true" outlineLevel="0" collapsed="false">
      <c r="A1259" s="16"/>
      <c r="B1259" s="16"/>
      <c r="C1259" s="16"/>
      <c r="D1259" s="16"/>
      <c r="E1259" s="16"/>
      <c r="F1259" s="16"/>
      <c r="G1259" s="16"/>
      <c r="H1259" s="16"/>
      <c r="I1259" s="16"/>
      <c r="J1259" s="16"/>
      <c r="K1259" s="16"/>
      <c r="L1259" s="16"/>
      <c r="M1259" s="16"/>
      <c r="N1259" s="16"/>
      <c r="O1259" s="16"/>
      <c r="P1259" s="16"/>
      <c r="Q1259" s="16"/>
      <c r="R1259" s="16"/>
      <c r="S1259" s="16"/>
      <c r="T1259" s="16"/>
      <c r="U1259" s="16"/>
      <c r="V1259" s="16"/>
      <c r="W1259" s="16"/>
    </row>
    <row r="1260" customFormat="false" ht="14.25" hidden="false" customHeight="true" outlineLevel="0" collapsed="false">
      <c r="A1260" s="16"/>
      <c r="B1260" s="16"/>
      <c r="C1260" s="16"/>
      <c r="D1260" s="16"/>
      <c r="E1260" s="16"/>
      <c r="F1260" s="16"/>
      <c r="G1260" s="16"/>
      <c r="H1260" s="16"/>
      <c r="I1260" s="16"/>
      <c r="J1260" s="16"/>
      <c r="K1260" s="16"/>
      <c r="L1260" s="16"/>
      <c r="M1260" s="16"/>
      <c r="N1260" s="16"/>
      <c r="O1260" s="16"/>
      <c r="P1260" s="16"/>
      <c r="Q1260" s="16"/>
      <c r="R1260" s="16"/>
      <c r="S1260" s="16"/>
      <c r="T1260" s="16"/>
      <c r="U1260" s="16"/>
      <c r="V1260" s="16"/>
      <c r="W1260" s="16"/>
    </row>
    <row r="1261" customFormat="false" ht="14.25" hidden="false" customHeight="true" outlineLevel="0" collapsed="false">
      <c r="A1261" s="16"/>
      <c r="B1261" s="16"/>
      <c r="C1261" s="16"/>
      <c r="D1261" s="16"/>
      <c r="E1261" s="16"/>
      <c r="F1261" s="16"/>
      <c r="G1261" s="16"/>
      <c r="H1261" s="16"/>
      <c r="I1261" s="16"/>
      <c r="J1261" s="16"/>
      <c r="K1261" s="16"/>
      <c r="L1261" s="16"/>
      <c r="M1261" s="16"/>
      <c r="N1261" s="16"/>
      <c r="O1261" s="16"/>
      <c r="P1261" s="16"/>
      <c r="Q1261" s="16"/>
      <c r="R1261" s="16"/>
      <c r="S1261" s="16"/>
      <c r="T1261" s="16"/>
      <c r="U1261" s="16"/>
      <c r="V1261" s="16"/>
      <c r="W1261" s="16"/>
    </row>
    <row r="1262" customFormat="false" ht="14.25" hidden="false" customHeight="true" outlineLevel="0" collapsed="false">
      <c r="A1262" s="16"/>
      <c r="B1262" s="16"/>
      <c r="C1262" s="16"/>
      <c r="D1262" s="16"/>
      <c r="E1262" s="16"/>
      <c r="F1262" s="16"/>
      <c r="G1262" s="16"/>
      <c r="H1262" s="16"/>
      <c r="I1262" s="16"/>
      <c r="J1262" s="16"/>
      <c r="K1262" s="16"/>
      <c r="L1262" s="16"/>
      <c r="M1262" s="16"/>
      <c r="N1262" s="16"/>
      <c r="O1262" s="16"/>
      <c r="P1262" s="16"/>
      <c r="Q1262" s="16"/>
      <c r="R1262" s="16"/>
      <c r="S1262" s="16"/>
      <c r="T1262" s="16"/>
      <c r="U1262" s="16"/>
      <c r="V1262" s="16"/>
      <c r="W1262" s="16"/>
    </row>
    <row r="1263" customFormat="false" ht="14.25" hidden="false" customHeight="true" outlineLevel="0" collapsed="false">
      <c r="A1263" s="16"/>
      <c r="B1263" s="16"/>
      <c r="C1263" s="16"/>
      <c r="D1263" s="16"/>
      <c r="E1263" s="16"/>
      <c r="F1263" s="16"/>
      <c r="G1263" s="16"/>
      <c r="H1263" s="16"/>
      <c r="I1263" s="16"/>
      <c r="J1263" s="16"/>
      <c r="K1263" s="16"/>
      <c r="L1263" s="16"/>
      <c r="M1263" s="16"/>
      <c r="N1263" s="16"/>
      <c r="O1263" s="16"/>
      <c r="P1263" s="16"/>
      <c r="Q1263" s="16"/>
      <c r="R1263" s="16"/>
      <c r="S1263" s="16"/>
      <c r="T1263" s="16"/>
      <c r="U1263" s="16"/>
      <c r="V1263" s="16"/>
      <c r="W1263" s="16"/>
    </row>
    <row r="1264" customFormat="false" ht="14.25" hidden="false" customHeight="true" outlineLevel="0" collapsed="false">
      <c r="A1264" s="16"/>
      <c r="B1264" s="16"/>
      <c r="C1264" s="16"/>
      <c r="D1264" s="16"/>
      <c r="E1264" s="16"/>
      <c r="F1264" s="16"/>
      <c r="G1264" s="16"/>
      <c r="H1264" s="16"/>
      <c r="I1264" s="16"/>
      <c r="J1264" s="16"/>
      <c r="K1264" s="16"/>
      <c r="L1264" s="16"/>
      <c r="M1264" s="16"/>
      <c r="N1264" s="16"/>
      <c r="O1264" s="16"/>
      <c r="P1264" s="16"/>
      <c r="Q1264" s="16"/>
      <c r="R1264" s="16"/>
      <c r="S1264" s="16"/>
      <c r="T1264" s="16"/>
      <c r="U1264" s="16"/>
      <c r="V1264" s="16"/>
      <c r="W1264" s="16"/>
    </row>
    <row r="1265" customFormat="false" ht="14.25" hidden="false" customHeight="true" outlineLevel="0" collapsed="false">
      <c r="A1265" s="16"/>
      <c r="B1265" s="16"/>
      <c r="C1265" s="16"/>
      <c r="D1265" s="16"/>
      <c r="E1265" s="16"/>
      <c r="F1265" s="16"/>
      <c r="G1265" s="16"/>
      <c r="H1265" s="16"/>
      <c r="I1265" s="16"/>
      <c r="J1265" s="16"/>
      <c r="K1265" s="16"/>
      <c r="L1265" s="16"/>
      <c r="M1265" s="16"/>
      <c r="N1265" s="16"/>
      <c r="O1265" s="16"/>
      <c r="P1265" s="16"/>
      <c r="Q1265" s="16"/>
      <c r="R1265" s="16"/>
      <c r="S1265" s="16"/>
      <c r="T1265" s="16"/>
      <c r="U1265" s="16"/>
      <c r="V1265" s="16"/>
      <c r="W1265" s="16"/>
    </row>
    <row r="1266" customFormat="false" ht="14.25" hidden="false" customHeight="true" outlineLevel="0" collapsed="false">
      <c r="A1266" s="16"/>
      <c r="B1266" s="16"/>
      <c r="C1266" s="16"/>
      <c r="D1266" s="16"/>
      <c r="E1266" s="16"/>
      <c r="F1266" s="16"/>
      <c r="G1266" s="16"/>
      <c r="H1266" s="16"/>
      <c r="I1266" s="16"/>
      <c r="J1266" s="16"/>
      <c r="K1266" s="16"/>
      <c r="L1266" s="16"/>
      <c r="M1266" s="16"/>
      <c r="N1266" s="16"/>
      <c r="O1266" s="16"/>
      <c r="P1266" s="16"/>
      <c r="Q1266" s="16"/>
      <c r="R1266" s="16"/>
      <c r="S1266" s="16"/>
      <c r="T1266" s="16"/>
      <c r="U1266" s="16"/>
      <c r="V1266" s="16"/>
      <c r="W1266" s="16"/>
    </row>
    <row r="1267" customFormat="false" ht="14.25" hidden="false" customHeight="true" outlineLevel="0" collapsed="false">
      <c r="A1267" s="16"/>
      <c r="B1267" s="16"/>
      <c r="C1267" s="16"/>
      <c r="D1267" s="16"/>
      <c r="E1267" s="16"/>
      <c r="F1267" s="16"/>
      <c r="G1267" s="16"/>
      <c r="H1267" s="16"/>
      <c r="I1267" s="16"/>
      <c r="J1267" s="16"/>
      <c r="K1267" s="16"/>
      <c r="L1267" s="16"/>
      <c r="M1267" s="16"/>
      <c r="N1267" s="16"/>
      <c r="O1267" s="16"/>
      <c r="P1267" s="16"/>
      <c r="Q1267" s="16"/>
      <c r="R1267" s="16"/>
      <c r="S1267" s="16"/>
      <c r="T1267" s="16"/>
      <c r="U1267" s="16"/>
      <c r="V1267" s="16"/>
      <c r="W1267" s="16"/>
    </row>
    <row r="1268" customFormat="false" ht="14.25" hidden="false" customHeight="true" outlineLevel="0" collapsed="false">
      <c r="A1268" s="16"/>
      <c r="B1268" s="16"/>
      <c r="C1268" s="16"/>
      <c r="D1268" s="16"/>
      <c r="E1268" s="16"/>
      <c r="F1268" s="16"/>
      <c r="G1268" s="16"/>
      <c r="H1268" s="16"/>
      <c r="I1268" s="16"/>
      <c r="J1268" s="16"/>
      <c r="K1268" s="16"/>
      <c r="L1268" s="16"/>
      <c r="M1268" s="16"/>
      <c r="N1268" s="16"/>
      <c r="O1268" s="16"/>
      <c r="P1268" s="16"/>
      <c r="Q1268" s="16"/>
      <c r="R1268" s="16"/>
      <c r="S1268" s="16"/>
      <c r="T1268" s="16"/>
      <c r="U1268" s="16"/>
      <c r="V1268" s="16"/>
      <c r="W1268" s="16"/>
    </row>
    <row r="1269" customFormat="false" ht="14.25" hidden="false" customHeight="true" outlineLevel="0" collapsed="false">
      <c r="A1269" s="16"/>
      <c r="B1269" s="16"/>
      <c r="C1269" s="16"/>
      <c r="D1269" s="16"/>
      <c r="E1269" s="16"/>
      <c r="F1269" s="16"/>
      <c r="G1269" s="16"/>
      <c r="H1269" s="16"/>
      <c r="I1269" s="16"/>
      <c r="J1269" s="16"/>
      <c r="K1269" s="16"/>
      <c r="L1269" s="16"/>
      <c r="M1269" s="16"/>
      <c r="N1269" s="16"/>
      <c r="O1269" s="16"/>
      <c r="P1269" s="16"/>
      <c r="Q1269" s="16"/>
      <c r="R1269" s="16"/>
      <c r="S1269" s="16"/>
      <c r="T1269" s="16"/>
      <c r="U1269" s="16"/>
      <c r="V1269" s="16"/>
      <c r="W1269" s="16"/>
    </row>
    <row r="1270" customFormat="false" ht="14.25" hidden="false" customHeight="true" outlineLevel="0" collapsed="false">
      <c r="A1270" s="16"/>
      <c r="B1270" s="16"/>
      <c r="C1270" s="16"/>
      <c r="D1270" s="16"/>
      <c r="E1270" s="16"/>
      <c r="F1270" s="16"/>
      <c r="G1270" s="16"/>
      <c r="H1270" s="16"/>
      <c r="I1270" s="16"/>
      <c r="J1270" s="16"/>
      <c r="K1270" s="16"/>
      <c r="L1270" s="16"/>
      <c r="M1270" s="16"/>
      <c r="N1270" s="16"/>
      <c r="O1270" s="16"/>
      <c r="P1270" s="16"/>
      <c r="Q1270" s="16"/>
      <c r="R1270" s="16"/>
      <c r="S1270" s="16"/>
      <c r="T1270" s="16"/>
      <c r="U1270" s="16"/>
      <c r="V1270" s="16"/>
      <c r="W1270" s="16"/>
    </row>
    <row r="1271" customFormat="false" ht="14.25" hidden="false" customHeight="true" outlineLevel="0" collapsed="false">
      <c r="A1271" s="16"/>
      <c r="B1271" s="16"/>
      <c r="C1271" s="16"/>
      <c r="D1271" s="16"/>
      <c r="E1271" s="16"/>
      <c r="F1271" s="16"/>
      <c r="G1271" s="16"/>
      <c r="H1271" s="16"/>
      <c r="I1271" s="16"/>
      <c r="J1271" s="16"/>
      <c r="K1271" s="16"/>
      <c r="L1271" s="16"/>
      <c r="M1271" s="16"/>
      <c r="N1271" s="16"/>
      <c r="O1271" s="16"/>
      <c r="P1271" s="16"/>
      <c r="Q1271" s="16"/>
      <c r="R1271" s="16"/>
      <c r="S1271" s="16"/>
      <c r="T1271" s="16"/>
      <c r="U1271" s="16"/>
      <c r="V1271" s="16"/>
      <c r="W1271" s="16"/>
    </row>
    <row r="1272" customFormat="false" ht="14.25" hidden="false" customHeight="true" outlineLevel="0" collapsed="false">
      <c r="A1272" s="16"/>
      <c r="B1272" s="16"/>
      <c r="C1272" s="16"/>
      <c r="D1272" s="16"/>
      <c r="E1272" s="16"/>
      <c r="F1272" s="16"/>
      <c r="G1272" s="16"/>
      <c r="H1272" s="16"/>
      <c r="I1272" s="16"/>
      <c r="J1272" s="16"/>
      <c r="K1272" s="16"/>
      <c r="L1272" s="16"/>
      <c r="M1272" s="16"/>
      <c r="N1272" s="16"/>
      <c r="O1272" s="16"/>
      <c r="P1272" s="16"/>
      <c r="Q1272" s="16"/>
      <c r="R1272" s="16"/>
      <c r="S1272" s="16"/>
      <c r="T1272" s="16"/>
      <c r="U1272" s="16"/>
      <c r="V1272" s="16"/>
      <c r="W1272" s="16"/>
    </row>
    <row r="1273" customFormat="false" ht="14.25" hidden="false" customHeight="true" outlineLevel="0" collapsed="false">
      <c r="A1273" s="16"/>
      <c r="B1273" s="16"/>
      <c r="C1273" s="16"/>
      <c r="D1273" s="16"/>
      <c r="E1273" s="16"/>
      <c r="F1273" s="16"/>
      <c r="G1273" s="16"/>
      <c r="H1273" s="16"/>
      <c r="I1273" s="16"/>
      <c r="J1273" s="16"/>
      <c r="K1273" s="16"/>
      <c r="L1273" s="16"/>
      <c r="M1273" s="16"/>
      <c r="N1273" s="16"/>
      <c r="O1273" s="16"/>
      <c r="P1273" s="16"/>
      <c r="Q1273" s="16"/>
      <c r="R1273" s="16"/>
      <c r="S1273" s="16"/>
      <c r="T1273" s="16"/>
      <c r="U1273" s="16"/>
      <c r="V1273" s="16"/>
      <c r="W1273" s="16"/>
    </row>
    <row r="1274" customFormat="false" ht="14.25" hidden="false" customHeight="true" outlineLevel="0" collapsed="false">
      <c r="A1274" s="16"/>
      <c r="B1274" s="16"/>
      <c r="C1274" s="16"/>
      <c r="D1274" s="16"/>
      <c r="E1274" s="16"/>
      <c r="F1274" s="16"/>
      <c r="G1274" s="16"/>
      <c r="H1274" s="16"/>
      <c r="I1274" s="16"/>
      <c r="J1274" s="16"/>
      <c r="K1274" s="16"/>
      <c r="L1274" s="16"/>
      <c r="M1274" s="16"/>
      <c r="N1274" s="16"/>
      <c r="O1274" s="16"/>
      <c r="P1274" s="16"/>
      <c r="Q1274" s="16"/>
      <c r="R1274" s="16"/>
      <c r="S1274" s="16"/>
      <c r="T1274" s="16"/>
      <c r="U1274" s="16"/>
      <c r="V1274" s="16"/>
      <c r="W1274" s="16"/>
    </row>
    <row r="1275" customFormat="false" ht="14.25" hidden="false" customHeight="true" outlineLevel="0" collapsed="false">
      <c r="A1275" s="16"/>
      <c r="B1275" s="16"/>
      <c r="C1275" s="16"/>
      <c r="D1275" s="16"/>
      <c r="E1275" s="16"/>
      <c r="F1275" s="16"/>
      <c r="G1275" s="16"/>
      <c r="H1275" s="16"/>
      <c r="I1275" s="16"/>
      <c r="J1275" s="16"/>
      <c r="K1275" s="16"/>
      <c r="L1275" s="16"/>
      <c r="M1275" s="16"/>
      <c r="N1275" s="16"/>
      <c r="O1275" s="16"/>
      <c r="P1275" s="16"/>
      <c r="Q1275" s="16"/>
      <c r="R1275" s="16"/>
      <c r="S1275" s="16"/>
      <c r="T1275" s="16"/>
      <c r="U1275" s="16"/>
      <c r="V1275" s="16"/>
      <c r="W1275" s="16"/>
    </row>
    <row r="1276" customFormat="false" ht="14.25" hidden="false" customHeight="true" outlineLevel="0" collapsed="false">
      <c r="A1276" s="16"/>
      <c r="B1276" s="16"/>
      <c r="C1276" s="16"/>
      <c r="D1276" s="16"/>
      <c r="E1276" s="16"/>
      <c r="F1276" s="16"/>
      <c r="G1276" s="16"/>
      <c r="H1276" s="16"/>
      <c r="I1276" s="16"/>
      <c r="J1276" s="16"/>
      <c r="K1276" s="16"/>
      <c r="L1276" s="16"/>
      <c r="M1276" s="16"/>
      <c r="N1276" s="16"/>
      <c r="O1276" s="16"/>
      <c r="P1276" s="16"/>
      <c r="Q1276" s="16"/>
      <c r="R1276" s="16"/>
      <c r="S1276" s="16"/>
      <c r="T1276" s="16"/>
      <c r="U1276" s="16"/>
      <c r="V1276" s="16"/>
      <c r="W1276"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8" activeCellId="0" sqref="D28"/>
    </sheetView>
  </sheetViews>
  <sheetFormatPr defaultColWidth="8.5" defaultRowHeight="13.5" zeroHeight="false" outlineLevelRow="0" outlineLevelCol="0"/>
  <cols>
    <col collapsed="false" customWidth="true" hidden="false" outlineLevel="0" max="1" min="1" style="1" width="22.38"/>
    <col collapsed="false" customWidth="true" hidden="false" outlineLevel="0" max="2" min="2" style="1" width="43"/>
  </cols>
  <sheetData>
    <row r="1" customFormat="false" ht="15" hidden="false" customHeight="true" outlineLevel="0" collapsed="false">
      <c r="A1" s="25" t="s">
        <v>1</v>
      </c>
      <c r="B1" s="25" t="s">
        <v>2</v>
      </c>
      <c r="C1" s="25" t="s">
        <v>885</v>
      </c>
    </row>
    <row r="2" customFormat="false" ht="13.5" hidden="false" customHeight="true" outlineLevel="0" collapsed="false">
      <c r="A2" s="16" t="s">
        <v>886</v>
      </c>
      <c r="B2" s="16" t="s">
        <v>887</v>
      </c>
      <c r="C2" s="50" t="n">
        <v>0.03</v>
      </c>
    </row>
    <row r="3" customFormat="false" ht="16.5" hidden="false" customHeight="true" outlineLevel="0" collapsed="false">
      <c r="A3" s="16" t="s">
        <v>888</v>
      </c>
      <c r="B3" s="16" t="s">
        <v>889</v>
      </c>
      <c r="C3" s="50" t="n">
        <v>0.05</v>
      </c>
    </row>
    <row r="4" customFormat="false" ht="13.5" hidden="false" customHeight="true" outlineLevel="0" collapsed="false">
      <c r="A4" s="16" t="s">
        <v>890</v>
      </c>
      <c r="B4" s="16" t="s">
        <v>891</v>
      </c>
      <c r="C4" s="50" t="n">
        <v>0.01</v>
      </c>
    </row>
    <row r="5" customFormat="false" ht="16.5" hidden="false" customHeight="true" outlineLevel="0" collapsed="false">
      <c r="A5" s="16" t="s">
        <v>892</v>
      </c>
      <c r="B5" s="1" t="s">
        <v>893</v>
      </c>
      <c r="C5" s="51" t="n">
        <v>0.01</v>
      </c>
    </row>
    <row r="6" customFormat="false" ht="16.5" hidden="false" customHeight="true" outlineLevel="0" collapsed="false">
      <c r="A6" s="16" t="s">
        <v>894</v>
      </c>
      <c r="B6" s="1" t="s">
        <v>895</v>
      </c>
      <c r="C6" s="50" t="n">
        <v>0.03</v>
      </c>
    </row>
    <row r="7" customFormat="false" ht="16.5" hidden="false" customHeight="true" outlineLevel="0" collapsed="false">
      <c r="A7" s="16" t="s">
        <v>896</v>
      </c>
      <c r="B7" s="1" t="s">
        <v>897</v>
      </c>
      <c r="C7" s="50" t="n">
        <v>0.1</v>
      </c>
    </row>
    <row r="8" customFormat="false" ht="16.5" hidden="false" customHeight="true" outlineLevel="0" collapsed="false">
      <c r="A8" s="16" t="s">
        <v>898</v>
      </c>
      <c r="B8" s="1" t="s">
        <v>899</v>
      </c>
      <c r="C8" s="50" t="n">
        <v>0.1</v>
      </c>
    </row>
    <row r="9" customFormat="false" ht="16.5" hidden="false" customHeight="true" outlineLevel="0" collapsed="false">
      <c r="A9" s="16" t="s">
        <v>900</v>
      </c>
      <c r="B9" s="1" t="s">
        <v>901</v>
      </c>
      <c r="C9" s="5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13"/>
    <col collapsed="false" customWidth="true" hidden="false" outlineLevel="0" max="6" min="6" style="1" width="52"/>
    <col collapsed="false" customWidth="true" hidden="false" outlineLevel="0" max="7" min="7" style="1" width="12"/>
  </cols>
  <sheetData>
    <row r="1" customFormat="false" ht="15" hidden="false" customHeight="true" outlineLevel="0" collapsed="false">
      <c r="A1" s="25" t="s">
        <v>902</v>
      </c>
      <c r="B1" s="25" t="s">
        <v>903</v>
      </c>
      <c r="C1" s="25" t="s">
        <v>904</v>
      </c>
      <c r="D1" s="25" t="s">
        <v>905</v>
      </c>
      <c r="E1" s="25" t="s">
        <v>906</v>
      </c>
      <c r="F1" s="25" t="s">
        <v>4</v>
      </c>
      <c r="G1" s="25" t="s">
        <v>907</v>
      </c>
    </row>
    <row r="2" customFormat="false" ht="16.5" hidden="false" customHeight="true" outlineLevel="0" collapsed="false">
      <c r="A2" s="30" t="s">
        <v>908</v>
      </c>
      <c r="B2" s="30" t="s">
        <v>909</v>
      </c>
      <c r="C2" s="30" t="s">
        <v>910</v>
      </c>
      <c r="D2" s="30" t="s">
        <v>911</v>
      </c>
      <c r="E2" s="30"/>
      <c r="F2" s="52" t="s">
        <v>912</v>
      </c>
      <c r="G2" s="30" t="s">
        <v>913</v>
      </c>
    </row>
    <row r="3" customFormat="false" ht="16.5" hidden="false" customHeight="true" outlineLevel="0" collapsed="false">
      <c r="A3" s="30" t="s">
        <v>908</v>
      </c>
      <c r="B3" s="30" t="s">
        <v>909</v>
      </c>
      <c r="C3" s="30" t="s">
        <v>914</v>
      </c>
      <c r="D3" s="30" t="s">
        <v>915</v>
      </c>
      <c r="E3" s="30"/>
      <c r="F3" s="52"/>
      <c r="G3" s="30" t="s">
        <v>913</v>
      </c>
    </row>
    <row r="4" customFormat="false" ht="16.5" hidden="false" customHeight="true" outlineLevel="0" collapsed="false">
      <c r="A4" s="30" t="s">
        <v>908</v>
      </c>
      <c r="B4" s="30" t="s">
        <v>909</v>
      </c>
      <c r="C4" s="30" t="s">
        <v>916</v>
      </c>
      <c r="D4" s="30" t="s">
        <v>911</v>
      </c>
      <c r="E4" s="30" t="s">
        <v>917</v>
      </c>
      <c r="F4" s="52" t="s">
        <v>918</v>
      </c>
      <c r="G4" s="30" t="s">
        <v>913</v>
      </c>
    </row>
    <row r="5" customFormat="false" ht="16.5" hidden="false" customHeight="true" outlineLevel="0" collapsed="false">
      <c r="A5" s="30" t="s">
        <v>908</v>
      </c>
      <c r="B5" s="30" t="s">
        <v>909</v>
      </c>
      <c r="C5" s="30" t="s">
        <v>919</v>
      </c>
      <c r="D5" s="30" t="s">
        <v>915</v>
      </c>
      <c r="E5" s="30"/>
      <c r="F5" s="52" t="s">
        <v>920</v>
      </c>
      <c r="G5" s="30" t="s">
        <v>913</v>
      </c>
    </row>
    <row r="6" customFormat="false" ht="16.5" hidden="false" customHeight="true" outlineLevel="0" collapsed="false">
      <c r="A6" s="30" t="s">
        <v>908</v>
      </c>
      <c r="B6" s="30" t="s">
        <v>909</v>
      </c>
      <c r="C6" s="30" t="s">
        <v>336</v>
      </c>
      <c r="D6" s="30" t="s">
        <v>921</v>
      </c>
      <c r="E6" s="30"/>
      <c r="F6" s="52"/>
      <c r="G6" s="30" t="s">
        <v>913</v>
      </c>
    </row>
    <row r="7" customFormat="false" ht="16.5" hidden="false" customHeight="true" outlineLevel="0" collapsed="false">
      <c r="A7" s="30" t="s">
        <v>908</v>
      </c>
      <c r="B7" s="30" t="s">
        <v>909</v>
      </c>
      <c r="C7" s="30" t="s">
        <v>922</v>
      </c>
      <c r="D7" s="30" t="s">
        <v>911</v>
      </c>
      <c r="E7" s="30" t="s">
        <v>923</v>
      </c>
      <c r="F7" s="30" t="inlineStr">
        <is>
          <t>博物館（化石を預けると孵る、3.2.2）</t>
        </is>
      </c>
      <c r="G7" s="30" t="s">
        <v>913</v>
      </c>
    </row>
    <row r="8" customFormat="false" ht="16.5" hidden="false" customHeight="true" outlineLevel="0" collapsed="false">
      <c r="A8" s="30" t="s">
        <v>908</v>
      </c>
      <c r="B8" s="30" t="s">
        <v>909</v>
      </c>
      <c r="C8" s="30" t="s">
        <v>924</v>
      </c>
      <c r="D8" s="30" t="s">
        <v>915</v>
      </c>
      <c r="E8" s="30"/>
      <c r="F8" s="52"/>
      <c r="G8" s="30" t="s">
        <v>913</v>
      </c>
    </row>
    <row r="9" customFormat="false" ht="16.5" hidden="false" customHeight="true" outlineLevel="0" collapsed="false">
      <c r="A9" s="30" t="s">
        <v>908</v>
      </c>
      <c r="B9" s="30" t="s">
        <v>909</v>
      </c>
      <c r="C9" s="30" t="s">
        <v>925</v>
      </c>
      <c r="D9" s="30" t="s">
        <v>915</v>
      </c>
      <c r="E9" s="30"/>
      <c r="F9" s="52" t="s">
        <v>926</v>
      </c>
      <c r="G9" s="30" t="s">
        <v>913</v>
      </c>
    </row>
    <row r="10" customFormat="false" ht="16.5" hidden="false" customHeight="true" outlineLevel="0" collapsed="false">
      <c r="A10" s="30" t="s">
        <v>908</v>
      </c>
      <c r="B10" s="30" t="s">
        <v>909</v>
      </c>
      <c r="C10" s="30" t="s">
        <v>927</v>
      </c>
      <c r="D10" s="30" t="s">
        <v>915</v>
      </c>
      <c r="E10" s="30"/>
      <c r="F10" s="52"/>
      <c r="G10" s="30" t="s">
        <v>913</v>
      </c>
    </row>
    <row r="11" customFormat="false" ht="16.5" hidden="false" customHeight="true" outlineLevel="0" collapsed="false">
      <c r="A11" s="30" t="s">
        <v>908</v>
      </c>
      <c r="B11" s="30" t="s">
        <v>928</v>
      </c>
      <c r="C11" s="30" t="s">
        <v>513</v>
      </c>
      <c r="D11" s="30" t="s">
        <v>929</v>
      </c>
      <c r="E11" s="30"/>
      <c r="F11" s="52"/>
      <c r="G11" s="30" t="s">
        <v>913</v>
      </c>
    </row>
    <row r="12" customFormat="false" ht="32.25" hidden="false" customHeight="true" outlineLevel="0" collapsed="false">
      <c r="A12" s="30" t="s">
        <v>908</v>
      </c>
      <c r="B12" s="30" t="s">
        <v>928</v>
      </c>
      <c r="C12" s="30" t="s">
        <v>930</v>
      </c>
      <c r="D12" s="30" t="s">
        <v>911</v>
      </c>
      <c r="E12" s="30"/>
      <c r="F12" s="52" t="s">
        <v>931</v>
      </c>
      <c r="G12" s="30" t="s">
        <v>913</v>
      </c>
    </row>
    <row r="13" customFormat="false" ht="16.5" hidden="false" customHeight="true" outlineLevel="0" collapsed="false">
      <c r="A13" s="30" t="s">
        <v>908</v>
      </c>
      <c r="B13" s="30" t="s">
        <v>928</v>
      </c>
      <c r="C13" s="30" t="s">
        <v>932</v>
      </c>
      <c r="D13" s="30" t="s">
        <v>933</v>
      </c>
      <c r="E13" s="30"/>
      <c r="F13" s="52"/>
      <c r="G13" s="30" t="s">
        <v>913</v>
      </c>
    </row>
    <row r="14" customFormat="false" ht="16.5" hidden="false" customHeight="true" outlineLevel="0" collapsed="false">
      <c r="A14" s="30" t="s">
        <v>934</v>
      </c>
      <c r="B14" s="30" t="s">
        <v>935</v>
      </c>
      <c r="C14" s="30" t="s">
        <v>936</v>
      </c>
      <c r="D14" s="30" t="s">
        <v>929</v>
      </c>
      <c r="E14" s="30"/>
      <c r="F14" s="52" t="s">
        <v>937</v>
      </c>
      <c r="G14" s="30" t="s">
        <v>913</v>
      </c>
    </row>
    <row r="15" customFormat="false" ht="16.5" hidden="false" customHeight="true" outlineLevel="0" collapsed="false">
      <c r="A15" s="30" t="s">
        <v>934</v>
      </c>
      <c r="B15" s="30" t="s">
        <v>935</v>
      </c>
      <c r="C15" s="30" t="s">
        <v>938</v>
      </c>
      <c r="D15" s="30" t="s">
        <v>915</v>
      </c>
      <c r="E15" s="30"/>
      <c r="F15" s="52"/>
      <c r="G15" s="30" t="s">
        <v>913</v>
      </c>
    </row>
    <row r="16" customFormat="false" ht="16.5" hidden="false" customHeight="true" outlineLevel="0" collapsed="false">
      <c r="A16" s="30" t="s">
        <v>934</v>
      </c>
      <c r="B16" s="30" t="s">
        <v>935</v>
      </c>
      <c r="C16" s="30" t="s">
        <v>939</v>
      </c>
      <c r="D16" s="30" t="s">
        <v>911</v>
      </c>
      <c r="E16" s="30" t="s">
        <v>940</v>
      </c>
      <c r="F16" s="52"/>
      <c r="G16" s="30" t="s">
        <v>913</v>
      </c>
    </row>
    <row r="17" customFormat="false" ht="16.5" hidden="false" customHeight="true" outlineLevel="0" collapsed="false">
      <c r="A17" s="30" t="s">
        <v>934</v>
      </c>
      <c r="B17" s="30" t="s">
        <v>935</v>
      </c>
      <c r="C17" s="30" t="s">
        <v>941</v>
      </c>
      <c r="D17" s="30" t="s">
        <v>915</v>
      </c>
      <c r="E17" s="30"/>
      <c r="F17" s="52" t="s">
        <v>942</v>
      </c>
      <c r="G17" s="30" t="s">
        <v>913</v>
      </c>
    </row>
    <row r="18" customFormat="false" ht="16.5" hidden="false" customHeight="true" outlineLevel="0" collapsed="false">
      <c r="A18" s="30" t="s">
        <v>934</v>
      </c>
      <c r="B18" s="30" t="s">
        <v>935</v>
      </c>
      <c r="C18" s="30" t="s">
        <v>943</v>
      </c>
      <c r="D18" s="30" t="s">
        <v>915</v>
      </c>
      <c r="E18" s="30"/>
      <c r="F18" s="52"/>
      <c r="G18" s="30" t="s">
        <v>913</v>
      </c>
    </row>
    <row r="19" customFormat="false" ht="16.5" hidden="false" customHeight="true" outlineLevel="0" collapsed="false">
      <c r="A19" s="30" t="s">
        <v>934</v>
      </c>
      <c r="B19" s="30" t="s">
        <v>935</v>
      </c>
      <c r="C19" s="30" t="s">
        <v>944</v>
      </c>
      <c r="D19" s="30" t="s">
        <v>915</v>
      </c>
      <c r="E19" s="30"/>
      <c r="F19" s="52"/>
      <c r="G19" s="30" t="s">
        <v>913</v>
      </c>
    </row>
    <row r="20" customFormat="false" ht="16.5" hidden="false" customHeight="true" outlineLevel="0" collapsed="false">
      <c r="A20" s="30" t="s">
        <v>934</v>
      </c>
      <c r="B20" s="30" t="s">
        <v>935</v>
      </c>
      <c r="C20" s="30" t="s">
        <v>945</v>
      </c>
      <c r="D20" s="30" t="s">
        <v>915</v>
      </c>
      <c r="E20" s="30"/>
      <c r="F20" s="52" t="s">
        <v>946</v>
      </c>
      <c r="G20" s="30" t="s">
        <v>947</v>
      </c>
    </row>
    <row r="21" customFormat="false" ht="16.5" hidden="false" customHeight="true" outlineLevel="0" collapsed="false">
      <c r="A21" s="30" t="s">
        <v>934</v>
      </c>
      <c r="B21" s="30" t="s">
        <v>935</v>
      </c>
      <c r="C21" s="30" t="s">
        <v>948</v>
      </c>
      <c r="D21" s="30" t="s">
        <v>915</v>
      </c>
      <c r="E21" s="30"/>
      <c r="F21" s="52"/>
      <c r="G21" s="30" t="s">
        <v>913</v>
      </c>
    </row>
    <row r="22" customFormat="false" ht="16.5" hidden="false" customHeight="true" outlineLevel="0" collapsed="false">
      <c r="A22" s="30" t="s">
        <v>934</v>
      </c>
      <c r="B22" s="30" t="s">
        <v>935</v>
      </c>
      <c r="C22" s="30" t="s">
        <v>949</v>
      </c>
      <c r="D22" s="30" t="s">
        <v>911</v>
      </c>
      <c r="E22" s="30"/>
      <c r="F22" s="52"/>
      <c r="G22" s="30" t="s">
        <v>913</v>
      </c>
    </row>
    <row r="23" customFormat="false" ht="16.5" hidden="false" customHeight="true" outlineLevel="0" collapsed="false">
      <c r="A23" s="30" t="s">
        <v>934</v>
      </c>
      <c r="B23" s="30" t="s">
        <v>935</v>
      </c>
      <c r="C23" s="30" t="s">
        <v>533</v>
      </c>
      <c r="D23" s="30" t="s">
        <v>950</v>
      </c>
      <c r="E23" s="30"/>
      <c r="F23" s="52"/>
      <c r="G23" s="30" t="s">
        <v>947</v>
      </c>
    </row>
    <row r="24" customFormat="false" ht="16.5" hidden="false" customHeight="true" outlineLevel="0" collapsed="false">
      <c r="A24" s="30" t="s">
        <v>934</v>
      </c>
      <c r="B24" s="30" t="s">
        <v>935</v>
      </c>
      <c r="C24" s="30" t="s">
        <v>381</v>
      </c>
      <c r="D24" s="30" t="s">
        <v>950</v>
      </c>
      <c r="E24" s="30"/>
      <c r="F24" s="52"/>
      <c r="G24" s="30" t="s">
        <v>947</v>
      </c>
    </row>
    <row r="25" customFormat="false" ht="16.5" hidden="false" customHeight="true" outlineLevel="0" collapsed="false">
      <c r="A25" s="30" t="s">
        <v>934</v>
      </c>
      <c r="B25" s="30" t="s">
        <v>935</v>
      </c>
      <c r="C25" s="30" t="s">
        <v>550</v>
      </c>
      <c r="D25" s="30" t="s">
        <v>950</v>
      </c>
      <c r="E25" s="30"/>
      <c r="F25" s="52"/>
      <c r="G25" s="30" t="s">
        <v>947</v>
      </c>
    </row>
    <row r="26" customFormat="false" ht="16.5" hidden="false" customHeight="true" outlineLevel="0" collapsed="false">
      <c r="A26" s="30" t="s">
        <v>934</v>
      </c>
      <c r="B26" s="30" t="s">
        <v>935</v>
      </c>
      <c r="C26" s="30" t="s">
        <v>586</v>
      </c>
      <c r="D26" s="30" t="s">
        <v>950</v>
      </c>
      <c r="E26" s="30"/>
      <c r="F26" s="52" t="s">
        <v>951</v>
      </c>
      <c r="G26" s="30" t="s">
        <v>947</v>
      </c>
    </row>
    <row r="27" customFormat="false" ht="16.5" hidden="false" customHeight="true" outlineLevel="0" collapsed="false">
      <c r="A27" s="30" t="s">
        <v>952</v>
      </c>
      <c r="B27" s="30" t="s">
        <v>953</v>
      </c>
      <c r="C27" s="30" t="s">
        <v>954</v>
      </c>
      <c r="D27" s="30" t="s">
        <v>929</v>
      </c>
      <c r="E27" s="30"/>
      <c r="F27" s="52" t="s">
        <v>955</v>
      </c>
      <c r="G27" s="30" t="s">
        <v>913</v>
      </c>
    </row>
    <row r="28" customFormat="false" ht="16.5" hidden="false" customHeight="true" outlineLevel="0" collapsed="false">
      <c r="A28" s="30" t="s">
        <v>952</v>
      </c>
      <c r="B28" s="30" t="s">
        <v>953</v>
      </c>
      <c r="C28" s="30" t="s">
        <v>956</v>
      </c>
      <c r="D28" s="30" t="s">
        <v>911</v>
      </c>
      <c r="E28" s="30" t="s">
        <v>957</v>
      </c>
      <c r="F28" s="52"/>
      <c r="G28" s="30" t="s">
        <v>913</v>
      </c>
    </row>
    <row r="29" customFormat="false" ht="16.5" hidden="false" customHeight="true" outlineLevel="0" collapsed="false">
      <c r="A29" s="30" t="s">
        <v>952</v>
      </c>
      <c r="B29" s="30" t="s">
        <v>953</v>
      </c>
      <c r="C29" s="30" t="s">
        <v>958</v>
      </c>
      <c r="D29" s="30" t="s">
        <v>915</v>
      </c>
      <c r="E29" s="30"/>
      <c r="F29" s="52"/>
      <c r="G29" s="30" t="s">
        <v>913</v>
      </c>
    </row>
    <row r="30" customFormat="false" ht="32.25" hidden="false" customHeight="true" outlineLevel="0" collapsed="false">
      <c r="A30" s="30" t="s">
        <v>952</v>
      </c>
      <c r="B30" s="30" t="s">
        <v>953</v>
      </c>
      <c r="C30" s="30" t="s">
        <v>959</v>
      </c>
      <c r="D30" s="30" t="s">
        <v>911</v>
      </c>
      <c r="E30" s="30" t="s">
        <v>960</v>
      </c>
      <c r="F30" s="52" t="s">
        <v>961</v>
      </c>
      <c r="G30" s="30" t="s">
        <v>913</v>
      </c>
    </row>
    <row r="31" customFormat="false" ht="32.25" hidden="false" customHeight="true" outlineLevel="0" collapsed="false">
      <c r="A31" s="30" t="s">
        <v>952</v>
      </c>
      <c r="B31" s="30" t="s">
        <v>953</v>
      </c>
      <c r="C31" s="30" t="s">
        <v>962</v>
      </c>
      <c r="D31" s="30" t="s">
        <v>911</v>
      </c>
      <c r="E31" s="30" t="s">
        <v>963</v>
      </c>
      <c r="F31" s="52" t="s">
        <v>964</v>
      </c>
      <c r="G31" s="30" t="s">
        <v>913</v>
      </c>
    </row>
    <row r="32" customFormat="false" ht="16.5" hidden="false" customHeight="true" outlineLevel="0" collapsed="false">
      <c r="A32" s="30" t="s">
        <v>952</v>
      </c>
      <c r="B32" s="30" t="s">
        <v>953</v>
      </c>
      <c r="C32" s="30" t="s">
        <v>965</v>
      </c>
      <c r="D32" s="30" t="s">
        <v>915</v>
      </c>
      <c r="E32" s="30"/>
      <c r="F32" s="52"/>
      <c r="G32" s="30" t="s">
        <v>913</v>
      </c>
    </row>
    <row r="33" customFormat="false" ht="16.5" hidden="false" customHeight="true" outlineLevel="0" collapsed="false">
      <c r="A33" s="30" t="s">
        <v>952</v>
      </c>
      <c r="B33" s="30" t="s">
        <v>953</v>
      </c>
      <c r="C33" s="30" t="s">
        <v>966</v>
      </c>
      <c r="D33" s="30" t="s">
        <v>915</v>
      </c>
      <c r="E33" s="30"/>
      <c r="F33" s="52" t="s">
        <v>967</v>
      </c>
      <c r="G33" s="30" t="s">
        <v>947</v>
      </c>
    </row>
    <row r="34" customFormat="false" ht="16.5" hidden="false" customHeight="true" outlineLevel="0" collapsed="false">
      <c r="A34" s="30" t="s">
        <v>952</v>
      </c>
      <c r="B34" s="30" t="s">
        <v>953</v>
      </c>
      <c r="C34" s="30" t="s">
        <v>968</v>
      </c>
      <c r="D34" s="30" t="s">
        <v>915</v>
      </c>
      <c r="E34" s="30"/>
      <c r="F34" s="52"/>
      <c r="G34" s="30" t="s">
        <v>913</v>
      </c>
    </row>
    <row r="35" customFormat="false" ht="16.5" hidden="false" customHeight="true" outlineLevel="0" collapsed="false">
      <c r="A35" s="30" t="s">
        <v>952</v>
      </c>
      <c r="B35" s="30" t="s">
        <v>953</v>
      </c>
      <c r="C35" s="30" t="s">
        <v>969</v>
      </c>
      <c r="D35" s="30" t="s">
        <v>915</v>
      </c>
      <c r="E35" s="30"/>
      <c r="F35" s="52"/>
      <c r="G35" s="30" t="s">
        <v>913</v>
      </c>
    </row>
    <row r="36" customFormat="false" ht="16.5" hidden="false" customHeight="true" outlineLevel="0" collapsed="false">
      <c r="A36" s="30" t="s">
        <v>952</v>
      </c>
      <c r="B36" s="30" t="s">
        <v>953</v>
      </c>
      <c r="C36" s="30" t="s">
        <v>970</v>
      </c>
      <c r="D36" s="30" t="s">
        <v>950</v>
      </c>
      <c r="E36" s="30"/>
      <c r="F36" s="52" t="s">
        <v>971</v>
      </c>
      <c r="G36" s="30" t="s">
        <v>947</v>
      </c>
    </row>
    <row r="37" customFormat="false" ht="16.5" hidden="false" customHeight="true" outlineLevel="0" collapsed="false">
      <c r="A37" s="30" t="s">
        <v>952</v>
      </c>
      <c r="B37" s="30" t="s">
        <v>953</v>
      </c>
      <c r="C37" s="30" t="s">
        <v>972</v>
      </c>
      <c r="D37" s="30" t="s">
        <v>950</v>
      </c>
      <c r="E37" s="30"/>
      <c r="F37" s="52" t="s">
        <v>973</v>
      </c>
      <c r="G37" s="30" t="s">
        <v>947</v>
      </c>
    </row>
    <row r="38" customFormat="false" ht="16.5" hidden="false" customHeight="true" outlineLevel="0" collapsed="false">
      <c r="A38" s="30" t="s">
        <v>952</v>
      </c>
      <c r="B38" s="30" t="s">
        <v>953</v>
      </c>
      <c r="C38" s="30" t="s">
        <v>974</v>
      </c>
      <c r="D38" s="30" t="s">
        <v>950</v>
      </c>
      <c r="E38" s="30"/>
      <c r="F38" s="52"/>
      <c r="G38" s="30" t="s">
        <v>947</v>
      </c>
    </row>
    <row r="39" customFormat="false" ht="16.5" hidden="false" customHeight="true" outlineLevel="0" collapsed="false">
      <c r="A39" s="30" t="s">
        <v>975</v>
      </c>
      <c r="B39" s="30" t="s">
        <v>976</v>
      </c>
      <c r="C39" s="30" t="s">
        <v>977</v>
      </c>
      <c r="D39" s="30" t="s">
        <v>915</v>
      </c>
      <c r="E39" s="30"/>
      <c r="F39" s="52"/>
      <c r="G39" s="30" t="s">
        <v>913</v>
      </c>
    </row>
    <row r="40" customFormat="false" ht="16.5" hidden="false" customHeight="true" outlineLevel="0" collapsed="false">
      <c r="A40" s="30" t="s">
        <v>975</v>
      </c>
      <c r="B40" s="30" t="s">
        <v>976</v>
      </c>
      <c r="C40" s="30" t="s">
        <v>978</v>
      </c>
      <c r="D40" s="30" t="s">
        <v>915</v>
      </c>
      <c r="E40" s="30"/>
      <c r="F40" s="52"/>
      <c r="G40" s="30" t="s">
        <v>913</v>
      </c>
    </row>
    <row r="41" customFormat="false" ht="16.5" hidden="false" customHeight="true" outlineLevel="0" collapsed="false">
      <c r="A41" s="30" t="s">
        <v>975</v>
      </c>
      <c r="B41" s="30" t="s">
        <v>976</v>
      </c>
      <c r="C41" s="30" t="s">
        <v>979</v>
      </c>
      <c r="D41" s="30" t="s">
        <v>915</v>
      </c>
      <c r="E41" s="30"/>
      <c r="F41" s="52"/>
      <c r="G41" s="30" t="s">
        <v>913</v>
      </c>
    </row>
    <row r="42" customFormat="false" ht="16.5" hidden="false" customHeight="true" outlineLevel="0" collapsed="false">
      <c r="A42" s="30" t="s">
        <v>975</v>
      </c>
      <c r="B42" s="30" t="s">
        <v>976</v>
      </c>
      <c r="C42" s="30" t="s">
        <v>980</v>
      </c>
      <c r="D42" s="30" t="s">
        <v>915</v>
      </c>
      <c r="E42" s="30"/>
      <c r="F42" s="52"/>
      <c r="G42" s="30" t="s">
        <v>913</v>
      </c>
    </row>
    <row r="43" customFormat="false" ht="16.5" hidden="false" customHeight="true" outlineLevel="0" collapsed="false">
      <c r="A43" s="30" t="s">
        <v>975</v>
      </c>
      <c r="B43" s="30" t="s">
        <v>976</v>
      </c>
      <c r="C43" s="30" t="s">
        <v>981</v>
      </c>
      <c r="D43" s="30" t="s">
        <v>915</v>
      </c>
      <c r="E43" s="30"/>
      <c r="F43" s="52" t="s">
        <v>982</v>
      </c>
      <c r="G43" s="30" t="s">
        <v>913</v>
      </c>
    </row>
    <row r="44" customFormat="false" ht="16.5" hidden="false" customHeight="true" outlineLevel="0" collapsed="false">
      <c r="A44" s="30" t="s">
        <v>975</v>
      </c>
      <c r="B44" s="30" t="s">
        <v>976</v>
      </c>
      <c r="C44" s="30" t="s">
        <v>983</v>
      </c>
      <c r="D44" s="30" t="s">
        <v>915</v>
      </c>
      <c r="E44" s="30"/>
      <c r="F44" s="52"/>
      <c r="G44" s="30" t="s">
        <v>913</v>
      </c>
    </row>
    <row r="45" customFormat="false" ht="16.5" hidden="false" customHeight="true" outlineLevel="0" collapsed="false">
      <c r="A45" s="30" t="s">
        <v>975</v>
      </c>
      <c r="B45" s="30" t="s">
        <v>976</v>
      </c>
      <c r="C45" s="30" t="s">
        <v>984</v>
      </c>
      <c r="D45" s="30" t="s">
        <v>911</v>
      </c>
      <c r="E45" s="30" t="s">
        <v>985</v>
      </c>
      <c r="F45" s="52"/>
      <c r="G45" s="30" t="s">
        <v>913</v>
      </c>
    </row>
    <row r="46" customFormat="false" ht="16.5" hidden="false" customHeight="true" outlineLevel="0" collapsed="false">
      <c r="A46" s="30" t="s">
        <v>975</v>
      </c>
      <c r="B46" s="30" t="s">
        <v>976</v>
      </c>
      <c r="C46" s="30" t="s">
        <v>986</v>
      </c>
      <c r="D46" s="30" t="s">
        <v>987</v>
      </c>
      <c r="E46" s="30"/>
      <c r="F46" s="52"/>
      <c r="G46" s="30" t="s">
        <v>913</v>
      </c>
    </row>
    <row r="47" customFormat="false" ht="16.5" hidden="false" customHeight="true" outlineLevel="0" collapsed="false">
      <c r="A47" s="30" t="s">
        <v>975</v>
      </c>
      <c r="B47" s="30" t="s">
        <v>976</v>
      </c>
      <c r="C47" s="30" t="s">
        <v>988</v>
      </c>
      <c r="D47" s="30" t="s">
        <v>987</v>
      </c>
      <c r="E47" s="30"/>
      <c r="F47" s="52"/>
      <c r="G47" s="30" t="s">
        <v>913</v>
      </c>
    </row>
    <row r="48" customFormat="false" ht="16.5" hidden="false" customHeight="true" outlineLevel="0" collapsed="false">
      <c r="A48" s="30" t="s">
        <v>975</v>
      </c>
      <c r="B48" s="30" t="s">
        <v>976</v>
      </c>
      <c r="C48" s="30" t="s">
        <v>989</v>
      </c>
      <c r="D48" s="30" t="s">
        <v>987</v>
      </c>
      <c r="E48" s="30"/>
      <c r="F48" s="52" t="s">
        <v>990</v>
      </c>
      <c r="G48" s="30" t="s">
        <v>947</v>
      </c>
    </row>
    <row r="49" customFormat="false" ht="16.5" hidden="false" customHeight="true" outlineLevel="0" collapsed="false">
      <c r="A49" s="30" t="s">
        <v>975</v>
      </c>
      <c r="B49" s="30" t="s">
        <v>976</v>
      </c>
      <c r="C49" s="30" t="s">
        <v>991</v>
      </c>
      <c r="D49" s="30" t="s">
        <v>929</v>
      </c>
      <c r="E49" s="30"/>
      <c r="F49" s="52"/>
      <c r="G49" s="30" t="s">
        <v>913</v>
      </c>
    </row>
    <row r="50" customFormat="false" ht="16.5" hidden="false" customHeight="true" outlineLevel="0" collapsed="false">
      <c r="A50" s="30" t="s">
        <v>975</v>
      </c>
      <c r="B50" s="30" t="s">
        <v>976</v>
      </c>
      <c r="C50" s="30" t="s">
        <v>992</v>
      </c>
      <c r="D50" s="30" t="s">
        <v>911</v>
      </c>
      <c r="E50" s="30" t="s">
        <v>993</v>
      </c>
      <c r="F50" s="52"/>
      <c r="G50" s="30" t="s">
        <v>913</v>
      </c>
    </row>
    <row r="51" customFormat="false" ht="16.5" hidden="false" customHeight="true" outlineLevel="0" collapsed="false">
      <c r="A51" s="30" t="s">
        <v>975</v>
      </c>
      <c r="B51" s="30" t="s">
        <v>976</v>
      </c>
      <c r="C51" s="30" t="s">
        <v>418</v>
      </c>
      <c r="D51" s="30" t="s">
        <v>950</v>
      </c>
      <c r="E51" s="30"/>
      <c r="F51" s="52" t="s">
        <v>994</v>
      </c>
      <c r="G51" s="30" t="s">
        <v>947</v>
      </c>
    </row>
    <row r="52" customFormat="false" ht="16.5" hidden="false" customHeight="true" outlineLevel="0" collapsed="false">
      <c r="A52" s="30" t="s">
        <v>975</v>
      </c>
      <c r="B52" s="30" t="s">
        <v>976</v>
      </c>
      <c r="C52" s="30" t="s">
        <v>995</v>
      </c>
      <c r="D52" s="30" t="s">
        <v>950</v>
      </c>
      <c r="E52" s="30"/>
      <c r="F52" s="52"/>
      <c r="G52" s="30" t="s">
        <v>947</v>
      </c>
    </row>
    <row r="53" customFormat="false" ht="16.5" hidden="false" customHeight="true" outlineLevel="0" collapsed="false">
      <c r="A53" s="30" t="s">
        <v>996</v>
      </c>
      <c r="B53" s="30" t="s">
        <v>997</v>
      </c>
      <c r="C53" s="30" t="s">
        <v>754</v>
      </c>
      <c r="D53" s="30" t="s">
        <v>950</v>
      </c>
      <c r="E53" s="30"/>
      <c r="F53" s="52" t="s">
        <v>998</v>
      </c>
      <c r="G53" s="30" t="s">
        <v>947</v>
      </c>
    </row>
    <row r="54" customFormat="false" ht="16.5" hidden="false" customHeight="true" outlineLevel="0" collapsed="false">
      <c r="A54" s="30" t="s">
        <v>996</v>
      </c>
      <c r="B54" s="30" t="s">
        <v>997</v>
      </c>
      <c r="C54" s="30" t="s">
        <v>797</v>
      </c>
      <c r="D54" s="30" t="s">
        <v>950</v>
      </c>
      <c r="E54" s="30"/>
      <c r="F54" s="52" t="s">
        <v>998</v>
      </c>
      <c r="G54" s="30" t="s">
        <v>947</v>
      </c>
    </row>
    <row r="55" customFormat="false" ht="16.5" hidden="false" customHeight="true" outlineLevel="0" collapsed="false">
      <c r="A55" s="30" t="s">
        <v>996</v>
      </c>
      <c r="B55" s="30" t="s">
        <v>997</v>
      </c>
      <c r="C55" s="30" t="s">
        <v>813</v>
      </c>
      <c r="D55" s="30" t="s">
        <v>950</v>
      </c>
      <c r="E55" s="30"/>
      <c r="F55" s="52" t="s">
        <v>998</v>
      </c>
      <c r="G55" s="30" t="s">
        <v>947</v>
      </c>
    </row>
    <row r="56" customFormat="false" ht="16.5" hidden="false" customHeight="true" outlineLevel="0" collapsed="false">
      <c r="A56" s="30" t="s">
        <v>996</v>
      </c>
      <c r="B56" s="30" t="s">
        <v>997</v>
      </c>
      <c r="C56" s="30" t="s">
        <v>787</v>
      </c>
      <c r="D56" s="30" t="s">
        <v>950</v>
      </c>
      <c r="E56" s="30"/>
      <c r="F56" s="52" t="s">
        <v>998</v>
      </c>
      <c r="G56" s="30" t="s">
        <v>947</v>
      </c>
    </row>
    <row r="57" customFormat="false" ht="16.5" hidden="false" customHeight="true" outlineLevel="0" collapsed="false">
      <c r="A57" s="30" t="s">
        <v>996</v>
      </c>
      <c r="B57" s="30" t="s">
        <v>997</v>
      </c>
      <c r="C57" s="30" t="s">
        <v>790</v>
      </c>
      <c r="D57" s="30" t="s">
        <v>950</v>
      </c>
      <c r="E57" s="30"/>
      <c r="F57" s="52" t="s">
        <v>998</v>
      </c>
      <c r="G57" s="30" t="s">
        <v>947</v>
      </c>
    </row>
    <row r="58" customFormat="false" ht="16.5" hidden="false" customHeight="true" outlineLevel="0" collapsed="false">
      <c r="A58" s="30" t="s">
        <v>996</v>
      </c>
      <c r="B58" s="30" t="s">
        <v>997</v>
      </c>
      <c r="C58" s="30" t="s">
        <v>999</v>
      </c>
      <c r="D58" s="30" t="s">
        <v>950</v>
      </c>
      <c r="E58" s="30"/>
      <c r="F58" s="52" t="s">
        <v>1000</v>
      </c>
      <c r="G58" s="30"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0"/>
    <col collapsed="false" customWidth="true" hidden="false" outlineLevel="0" max="4" min="4" style="1" width="10"/>
    <col collapsed="false" customWidth="true" hidden="false" outlineLevel="0" max="5" min="5" style="1" width="8"/>
    <col collapsed="false" customWidth="true" hidden="false" outlineLevel="0" max="6" min="6" style="1" width="7"/>
    <col collapsed="false" customWidth="true" hidden="false" outlineLevel="0" max="7" min="7" style="1" width="8"/>
  </cols>
  <sheetData>
    <row r="1" customFormat="false" ht="15" hidden="false" customHeight="true" outlineLevel="0" collapsed="false">
      <c r="A1" s="25" t="s">
        <v>1001</v>
      </c>
      <c r="B1" s="25" t="s">
        <v>1002</v>
      </c>
      <c r="C1" s="25" t="s">
        <v>1003</v>
      </c>
      <c r="D1" s="25" t="s">
        <v>1004</v>
      </c>
      <c r="E1" s="25" t="s">
        <v>1005</v>
      </c>
      <c r="F1" s="25" t="s">
        <v>1006</v>
      </c>
      <c r="G1" s="25" t="s">
        <v>1007</v>
      </c>
    </row>
    <row r="2" customFormat="false" ht="15" hidden="false" customHeight="true" outlineLevel="0" collapsed="false">
      <c r="A2" s="30" t="s">
        <v>1008</v>
      </c>
      <c r="B2" s="30" t="s">
        <v>1009</v>
      </c>
      <c r="C2" s="30" t="s">
        <v>1010</v>
      </c>
      <c r="D2" s="30" t="n">
        <v>500</v>
      </c>
      <c r="E2" s="30" t="s">
        <v>1011</v>
      </c>
      <c r="F2" s="30" t="s">
        <v>1012</v>
      </c>
      <c r="G2" s="30" t="s">
        <v>1013</v>
      </c>
    </row>
    <row r="3" customFormat="false" ht="15" hidden="false" customHeight="true" outlineLevel="0" collapsed="false">
      <c r="A3" s="30" t="s">
        <v>1008</v>
      </c>
      <c r="B3" s="30" t="s">
        <v>1014</v>
      </c>
      <c r="C3" s="30" t="s">
        <v>1015</v>
      </c>
      <c r="D3" s="30" t="n">
        <v>3</v>
      </c>
      <c r="E3" s="30" t="s">
        <v>1016</v>
      </c>
      <c r="F3" s="30" t="s">
        <v>1012</v>
      </c>
      <c r="G3" s="30" t="s">
        <v>1013</v>
      </c>
    </row>
    <row r="4" customFormat="false" ht="16.5" hidden="false" customHeight="true" outlineLevel="0" collapsed="false">
      <c r="A4" s="30" t="s">
        <v>1008</v>
      </c>
      <c r="B4" s="30" t="s">
        <v>1017</v>
      </c>
      <c r="C4" s="30" t="s">
        <v>1018</v>
      </c>
      <c r="D4" s="53" t="n">
        <v>1000</v>
      </c>
      <c r="E4" s="30" t="s">
        <v>1011</v>
      </c>
      <c r="F4" s="30" t="s">
        <v>1012</v>
      </c>
      <c r="G4" s="30" t="s">
        <v>1019</v>
      </c>
    </row>
    <row r="5" customFormat="false" ht="16.5" hidden="false" customHeight="true" outlineLevel="0" collapsed="false">
      <c r="A5" s="30" t="s">
        <v>1008</v>
      </c>
      <c r="B5" s="30" t="s">
        <v>1020</v>
      </c>
      <c r="C5" s="30" t="s">
        <v>1021</v>
      </c>
      <c r="D5" s="30" t="n">
        <v>5</v>
      </c>
      <c r="E5" s="30" t="s">
        <v>1022</v>
      </c>
      <c r="F5" s="30" t="s">
        <v>1012</v>
      </c>
      <c r="G5" s="30" t="s">
        <v>1019</v>
      </c>
    </row>
    <row r="6" customFormat="false" ht="15" hidden="false" customHeight="true" outlineLevel="0" collapsed="false">
      <c r="A6" s="30" t="s">
        <v>1008</v>
      </c>
      <c r="B6" s="30" t="s">
        <v>1023</v>
      </c>
      <c r="C6" s="30" t="s">
        <v>1024</v>
      </c>
      <c r="D6" s="30" t="n">
        <v>20</v>
      </c>
      <c r="E6" s="30" t="s">
        <v>1022</v>
      </c>
      <c r="F6" s="30" t="s">
        <v>1012</v>
      </c>
      <c r="G6" s="30" t="s">
        <v>1019</v>
      </c>
    </row>
    <row r="7" customFormat="false" ht="15" hidden="false" customHeight="true" outlineLevel="0" collapsed="false">
      <c r="A7" s="30" t="s">
        <v>1008</v>
      </c>
      <c r="B7" s="30" t="s">
        <v>1025</v>
      </c>
      <c r="C7" s="30" t="s">
        <v>1026</v>
      </c>
      <c r="D7" s="30" t="n">
        <v>10</v>
      </c>
      <c r="E7" s="30" t="s">
        <v>1027</v>
      </c>
      <c r="F7" s="30" t="s">
        <v>1012</v>
      </c>
      <c r="G7" s="30" t="s">
        <v>1028</v>
      </c>
    </row>
    <row r="8" customFormat="false" ht="15" hidden="false" customHeight="true" outlineLevel="0" collapsed="false">
      <c r="A8" s="30" t="s">
        <v>1008</v>
      </c>
      <c r="B8" s="30" t="s">
        <v>1029</v>
      </c>
      <c r="C8" s="30" t="s">
        <v>1030</v>
      </c>
      <c r="D8" s="53" t="n">
        <v>100000</v>
      </c>
      <c r="E8" s="30" t="s">
        <v>1011</v>
      </c>
      <c r="F8" s="30" t="s">
        <v>1012</v>
      </c>
      <c r="G8" s="30" t="s">
        <v>1031</v>
      </c>
    </row>
    <row r="9" customFormat="false" ht="15" hidden="false" customHeight="true" outlineLevel="0" collapsed="false">
      <c r="A9" s="30" t="s">
        <v>1008</v>
      </c>
      <c r="B9" s="30" t="s">
        <v>1032</v>
      </c>
      <c r="C9" s="30" t="s">
        <v>1033</v>
      </c>
      <c r="D9" s="30" t="n">
        <v>7</v>
      </c>
      <c r="E9" s="30" t="s">
        <v>1027</v>
      </c>
      <c r="F9" s="30" t="s">
        <v>1012</v>
      </c>
      <c r="G9" s="30" t="s">
        <v>1034</v>
      </c>
    </row>
    <row r="10" customFormat="false" ht="15" hidden="false" customHeight="true" outlineLevel="0" collapsed="false">
      <c r="A10" s="30" t="s">
        <v>1008</v>
      </c>
      <c r="B10" s="30" t="s">
        <v>1035</v>
      </c>
      <c r="C10" s="30" t="s">
        <v>1036</v>
      </c>
      <c r="D10" s="54" t="n">
        <v>0.333333333333333</v>
      </c>
      <c r="E10" s="30" t="s">
        <v>1037</v>
      </c>
      <c r="F10" s="30" t="s">
        <v>1012</v>
      </c>
      <c r="G10" s="30" t="s">
        <v>1038</v>
      </c>
    </row>
    <row r="11" customFormat="false" ht="16.5" hidden="false" customHeight="true" outlineLevel="0" collapsed="false">
      <c r="A11" s="30" t="s">
        <v>1039</v>
      </c>
      <c r="B11" s="30" t="s">
        <v>1040</v>
      </c>
      <c r="C11" s="30" t="s">
        <v>1041</v>
      </c>
      <c r="D11" s="30" t="n">
        <v>500</v>
      </c>
      <c r="E11" s="30" t="s">
        <v>1011</v>
      </c>
      <c r="F11" s="30" t="s">
        <v>1042</v>
      </c>
      <c r="G11" s="30" t="s">
        <v>1043</v>
      </c>
    </row>
    <row r="12" customFormat="false" ht="16.5" hidden="false" customHeight="true" outlineLevel="0" collapsed="false">
      <c r="A12" s="30" t="s">
        <v>1039</v>
      </c>
      <c r="B12" s="30" t="s">
        <v>1044</v>
      </c>
      <c r="C12" s="30" t="s">
        <v>1045</v>
      </c>
      <c r="D12" s="30" t="n">
        <v>800</v>
      </c>
      <c r="E12" s="30" t="s">
        <v>1011</v>
      </c>
      <c r="F12" s="30" t="s">
        <v>1042</v>
      </c>
      <c r="G12" s="30" t="s">
        <v>1043</v>
      </c>
    </row>
    <row r="13" customFormat="false" ht="16.5" hidden="false" customHeight="true" outlineLevel="0" collapsed="false">
      <c r="A13" s="30" t="s">
        <v>1039</v>
      </c>
      <c r="B13" s="30" t="s">
        <v>1046</v>
      </c>
      <c r="C13" s="30" t="s">
        <v>1047</v>
      </c>
      <c r="D13" s="53" t="n">
        <v>1200</v>
      </c>
      <c r="E13" s="30" t="s">
        <v>1011</v>
      </c>
      <c r="F13" s="30" t="s">
        <v>1042</v>
      </c>
      <c r="G13" s="30" t="s">
        <v>1043</v>
      </c>
    </row>
    <row r="14" customFormat="false" ht="16.5" hidden="false" customHeight="true" outlineLevel="0" collapsed="false">
      <c r="A14" s="30" t="s">
        <v>1039</v>
      </c>
      <c r="B14" s="30" t="s">
        <v>1048</v>
      </c>
      <c r="C14" s="30" t="s">
        <v>1049</v>
      </c>
      <c r="D14" s="53" t="n">
        <v>1500</v>
      </c>
      <c r="E14" s="30" t="s">
        <v>1011</v>
      </c>
      <c r="F14" s="30" t="s">
        <v>1042</v>
      </c>
      <c r="G14" s="30" t="s">
        <v>1043</v>
      </c>
    </row>
    <row r="15" customFormat="false" ht="16.5" hidden="false" customHeight="true" outlineLevel="0" collapsed="false">
      <c r="A15" s="30" t="s">
        <v>1039</v>
      </c>
      <c r="B15" s="30" t="s">
        <v>1050</v>
      </c>
      <c r="C15" s="30" t="s">
        <v>1051</v>
      </c>
      <c r="D15" s="30" t="n">
        <v>800</v>
      </c>
      <c r="E15" s="30" t="s">
        <v>1011</v>
      </c>
      <c r="F15" s="30" t="s">
        <v>1042</v>
      </c>
      <c r="G15" s="30" t="s">
        <v>1043</v>
      </c>
    </row>
    <row r="16" customFormat="false" ht="16.5" hidden="false" customHeight="true" outlineLevel="0" collapsed="false">
      <c r="A16" s="30" t="s">
        <v>1039</v>
      </c>
      <c r="B16" s="30" t="s">
        <v>1052</v>
      </c>
      <c r="C16" s="30" t="s">
        <v>1053</v>
      </c>
      <c r="D16" s="53" t="n">
        <v>1200</v>
      </c>
      <c r="E16" s="30" t="s">
        <v>1011</v>
      </c>
      <c r="F16" s="30" t="s">
        <v>1042</v>
      </c>
      <c r="G16" s="30" t="s">
        <v>1043</v>
      </c>
    </row>
    <row r="17" customFormat="false" ht="16.5" hidden="false" customHeight="true" outlineLevel="0" collapsed="false">
      <c r="A17" s="30" t="s">
        <v>1039</v>
      </c>
      <c r="B17" s="30" t="s">
        <v>1054</v>
      </c>
      <c r="C17" s="30" t="s">
        <v>1055</v>
      </c>
      <c r="D17" s="53" t="n">
        <v>1500</v>
      </c>
      <c r="E17" s="30" t="s">
        <v>1011</v>
      </c>
      <c r="F17" s="30" t="s">
        <v>1042</v>
      </c>
      <c r="G17" s="30" t="s">
        <v>1043</v>
      </c>
    </row>
    <row r="18" customFormat="false" ht="16.5" hidden="false" customHeight="true" outlineLevel="0" collapsed="false">
      <c r="A18" s="30" t="s">
        <v>1039</v>
      </c>
      <c r="B18" s="30" t="s">
        <v>1056</v>
      </c>
      <c r="C18" s="30" t="s">
        <v>1057</v>
      </c>
      <c r="D18" s="53" t="n">
        <v>2200</v>
      </c>
      <c r="E18" s="30" t="s">
        <v>1011</v>
      </c>
      <c r="F18" s="30" t="s">
        <v>1042</v>
      </c>
      <c r="G18" s="30" t="s">
        <v>1043</v>
      </c>
    </row>
    <row r="19" customFormat="false" ht="15" hidden="false" customHeight="true" outlineLevel="0" collapsed="false">
      <c r="A19" s="30" t="s">
        <v>1027</v>
      </c>
      <c r="B19" s="30" t="s">
        <v>1058</v>
      </c>
      <c r="C19" s="30" t="s">
        <v>1059</v>
      </c>
      <c r="D19" s="30" t="n">
        <v>3</v>
      </c>
      <c r="E19" s="30" t="s">
        <v>1027</v>
      </c>
      <c r="F19" s="30" t="s">
        <v>1012</v>
      </c>
      <c r="G19" s="30" t="s">
        <v>1034</v>
      </c>
    </row>
    <row r="20" customFormat="false" ht="15" hidden="false" customHeight="true" outlineLevel="0" collapsed="false">
      <c r="A20" s="30" t="s">
        <v>1027</v>
      </c>
      <c r="B20" s="30" t="s">
        <v>1060</v>
      </c>
      <c r="C20" s="30" t="s">
        <v>1061</v>
      </c>
      <c r="D20" s="30" t="n">
        <v>8</v>
      </c>
      <c r="E20" s="30" t="s">
        <v>1027</v>
      </c>
      <c r="F20" s="30" t="s">
        <v>1012</v>
      </c>
      <c r="G20" s="30" t="s">
        <v>1034</v>
      </c>
    </row>
    <row r="21" customFormat="false" ht="15" hidden="false" customHeight="true" outlineLevel="0" collapsed="false">
      <c r="A21" s="30" t="s">
        <v>8</v>
      </c>
      <c r="B21" s="30" t="s">
        <v>1062</v>
      </c>
      <c r="C21" s="30" t="s">
        <v>1063</v>
      </c>
      <c r="D21" s="30" t="n">
        <v>0</v>
      </c>
      <c r="E21" s="30"/>
      <c r="F21" s="30" t="s">
        <v>1012</v>
      </c>
      <c r="G21" s="30" t="s">
        <v>1064</v>
      </c>
    </row>
    <row r="22" customFormat="false" ht="15" hidden="false" customHeight="true" outlineLevel="0" collapsed="false">
      <c r="A22" s="30" t="s">
        <v>8</v>
      </c>
      <c r="B22" s="30" t="s">
        <v>1065</v>
      </c>
      <c r="C22" s="30" t="s">
        <v>1066</v>
      </c>
      <c r="D22" s="30" t="n">
        <v>6</v>
      </c>
      <c r="E22" s="30"/>
      <c r="F22" s="30" t="s">
        <v>1012</v>
      </c>
      <c r="G22" s="30" t="s">
        <v>1064</v>
      </c>
    </row>
    <row r="23" customFormat="false" ht="15" hidden="false" customHeight="true" outlineLevel="0" collapsed="false">
      <c r="A23" s="30" t="s">
        <v>8</v>
      </c>
      <c r="B23" s="30" t="s">
        <v>1067</v>
      </c>
      <c r="C23" s="30" t="s">
        <v>1068</v>
      </c>
      <c r="D23" s="30" t="n">
        <v>4</v>
      </c>
      <c r="E23" s="30" t="s">
        <v>1016</v>
      </c>
      <c r="F23" s="30" t="s">
        <v>1012</v>
      </c>
      <c r="G23" s="30" t="s">
        <v>1069</v>
      </c>
    </row>
    <row r="24" customFormat="false" ht="15" hidden="false" customHeight="true" outlineLevel="0" collapsed="false">
      <c r="A24" s="30" t="s">
        <v>1070</v>
      </c>
      <c r="B24" s="30" t="s">
        <v>1071</v>
      </c>
      <c r="C24" s="30" t="s">
        <v>1072</v>
      </c>
      <c r="D24" s="30" t="n">
        <v>3</v>
      </c>
      <c r="E24" s="30" t="s">
        <v>1073</v>
      </c>
      <c r="F24" s="30" t="s">
        <v>1012</v>
      </c>
      <c r="G24" s="30" t="s">
        <v>1074</v>
      </c>
    </row>
    <row r="25" customFormat="false" ht="15" hidden="false" customHeight="true" outlineLevel="0" collapsed="false">
      <c r="A25" s="30" t="s">
        <v>1070</v>
      </c>
      <c r="B25" s="30" t="s">
        <v>1075</v>
      </c>
      <c r="C25" s="30" t="s">
        <v>1076</v>
      </c>
      <c r="D25" s="30" t="n">
        <v>10</v>
      </c>
      <c r="E25" s="30" t="s">
        <v>1073</v>
      </c>
      <c r="F25" s="30" t="s">
        <v>1012</v>
      </c>
      <c r="G25" s="30" t="s">
        <v>1074</v>
      </c>
    </row>
    <row r="26" customFormat="false" ht="15" hidden="false" customHeight="true" outlineLevel="0" collapsed="false">
      <c r="A26" s="30" t="s">
        <v>1070</v>
      </c>
      <c r="B26" s="30" t="s">
        <v>1077</v>
      </c>
      <c r="C26" s="30" t="s">
        <v>1078</v>
      </c>
      <c r="D26" s="30" t="n">
        <v>5</v>
      </c>
      <c r="E26" s="30"/>
      <c r="F26" s="30" t="s">
        <v>1012</v>
      </c>
      <c r="G26" s="30" t="s">
        <v>1013</v>
      </c>
    </row>
    <row r="27" customFormat="false" ht="15" hidden="false" customHeight="true" outlineLevel="0" collapsed="false">
      <c r="A27" s="30" t="s">
        <v>1070</v>
      </c>
      <c r="B27" s="30" t="s">
        <v>1079</v>
      </c>
      <c r="C27" s="30" t="s">
        <v>1080</v>
      </c>
      <c r="D27" s="30" t="n">
        <v>100</v>
      </c>
      <c r="E27" s="30"/>
      <c r="F27" s="30" t="s">
        <v>1012</v>
      </c>
      <c r="G27" s="30" t="s">
        <v>1074</v>
      </c>
    </row>
    <row r="28" customFormat="false" ht="15" hidden="false" customHeight="true" outlineLevel="0" collapsed="false">
      <c r="A28" s="30" t="s">
        <v>1070</v>
      </c>
      <c r="B28" s="30" t="s">
        <v>1081</v>
      </c>
      <c r="C28" s="30" t="s">
        <v>1082</v>
      </c>
      <c r="D28" s="30" t="n">
        <v>1</v>
      </c>
      <c r="E28" s="30" t="s">
        <v>1037</v>
      </c>
      <c r="F28" s="30" t="s">
        <v>1012</v>
      </c>
      <c r="G28" s="30" t="s">
        <v>1083</v>
      </c>
    </row>
    <row r="29" customFormat="false" ht="15" hidden="false" customHeight="true" outlineLevel="0" collapsed="false">
      <c r="A29" s="30" t="s">
        <v>1070</v>
      </c>
      <c r="B29" s="30" t="s">
        <v>1084</v>
      </c>
      <c r="C29" s="30" t="s">
        <v>1085</v>
      </c>
      <c r="D29" s="30" t="n">
        <v>0.6</v>
      </c>
      <c r="E29" s="30" t="s">
        <v>1037</v>
      </c>
      <c r="F29" s="30" t="s">
        <v>1012</v>
      </c>
      <c r="G29" s="30" t="s">
        <v>1083</v>
      </c>
    </row>
    <row r="30" customFormat="false" ht="16.5" hidden="false" customHeight="true" outlineLevel="0" collapsed="false">
      <c r="A30" s="30" t="s">
        <v>1070</v>
      </c>
      <c r="B30" s="30" t="s">
        <v>1086</v>
      </c>
      <c r="C30" s="30" t="s">
        <v>1087</v>
      </c>
      <c r="D30" s="30" t="n">
        <v>4.6</v>
      </c>
      <c r="E30" s="30"/>
      <c r="F30" s="30" t="s">
        <v>1088</v>
      </c>
      <c r="G30" s="30" t="s">
        <v>1083</v>
      </c>
    </row>
    <row r="31" customFormat="false" ht="15" hidden="false" customHeight="true" outlineLevel="0" collapsed="false">
      <c r="A31" s="30" t="s">
        <v>1089</v>
      </c>
      <c r="B31" s="30" t="s">
        <v>1090</v>
      </c>
      <c r="C31" s="30" t="s">
        <v>1091</v>
      </c>
      <c r="D31" s="30" t="n">
        <v>4</v>
      </c>
      <c r="E31" s="30" t="s">
        <v>1016</v>
      </c>
      <c r="F31" s="30" t="s">
        <v>1012</v>
      </c>
      <c r="G31" s="30" t="s">
        <v>1092</v>
      </c>
    </row>
    <row r="32" customFormat="false" ht="15" hidden="false" customHeight="true" outlineLevel="0" collapsed="false">
      <c r="A32" s="30" t="s">
        <v>1089</v>
      </c>
      <c r="B32" s="30" t="s">
        <v>1093</v>
      </c>
      <c r="C32" s="30" t="s">
        <v>1094</v>
      </c>
      <c r="D32" s="30" t="n">
        <v>6</v>
      </c>
      <c r="E32" s="30" t="s">
        <v>1016</v>
      </c>
      <c r="F32" s="30" t="s">
        <v>1012</v>
      </c>
      <c r="G32" s="30" t="s">
        <v>1092</v>
      </c>
    </row>
    <row r="33" customFormat="false" ht="15" hidden="false" customHeight="true" outlineLevel="0" collapsed="false">
      <c r="A33" s="30" t="s">
        <v>1095</v>
      </c>
      <c r="B33" s="30" t="s">
        <v>1096</v>
      </c>
      <c r="C33" s="30" t="s">
        <v>1097</v>
      </c>
      <c r="D33" s="30" t="n">
        <v>1.5</v>
      </c>
      <c r="E33" s="30" t="s">
        <v>1037</v>
      </c>
      <c r="F33" s="30" t="s">
        <v>1012</v>
      </c>
      <c r="G33" s="30" t="s">
        <v>1098</v>
      </c>
    </row>
    <row r="34" customFormat="false" ht="15" hidden="false" customHeight="true" outlineLevel="0" collapsed="false">
      <c r="A34" s="30" t="s">
        <v>1095</v>
      </c>
      <c r="B34" s="30" t="s">
        <v>1099</v>
      </c>
      <c r="C34" s="30" t="s">
        <v>1100</v>
      </c>
      <c r="D34" s="30" t="n">
        <v>1.3</v>
      </c>
      <c r="E34" s="30" t="s">
        <v>1037</v>
      </c>
      <c r="F34" s="30" t="s">
        <v>1012</v>
      </c>
      <c r="G34" s="30" t="s">
        <v>1101</v>
      </c>
    </row>
    <row r="35" customFormat="false" ht="15" hidden="false" customHeight="true" outlineLevel="0" collapsed="false">
      <c r="A35" s="30" t="s">
        <v>1095</v>
      </c>
      <c r="B35" s="30" t="s">
        <v>1102</v>
      </c>
      <c r="C35" s="30" t="s">
        <v>1103</v>
      </c>
      <c r="D35" s="54" t="n">
        <v>0.333333333333333</v>
      </c>
      <c r="E35" s="30" t="s">
        <v>1037</v>
      </c>
      <c r="F35" s="30" t="s">
        <v>1012</v>
      </c>
      <c r="G35" s="30" t="s">
        <v>1104</v>
      </c>
    </row>
    <row r="36" customFormat="false" ht="15" hidden="false" customHeight="true" outlineLevel="0" collapsed="false">
      <c r="A36" s="30" t="s">
        <v>1095</v>
      </c>
      <c r="B36" s="30" t="s">
        <v>1105</v>
      </c>
      <c r="C36" s="30" t="s">
        <v>1106</v>
      </c>
      <c r="D36" s="30" t="n">
        <v>1</v>
      </c>
      <c r="E36" s="30" t="s">
        <v>1037</v>
      </c>
      <c r="F36" s="30" t="s">
        <v>1012</v>
      </c>
      <c r="G36" s="30" t="s">
        <v>1104</v>
      </c>
    </row>
    <row r="37" customFormat="false" ht="15" hidden="false" customHeight="true" outlineLevel="0" collapsed="false">
      <c r="A37" s="30" t="s">
        <v>1095</v>
      </c>
      <c r="B37" s="30" t="s">
        <v>1107</v>
      </c>
      <c r="C37" s="30" t="s">
        <v>1108</v>
      </c>
      <c r="D37" s="30" t="n">
        <v>1.2</v>
      </c>
      <c r="E37" s="30" t="s">
        <v>1037</v>
      </c>
      <c r="F37" s="30" t="s">
        <v>1012</v>
      </c>
      <c r="G37" s="30" t="s">
        <v>1104</v>
      </c>
    </row>
    <row r="38" customFormat="false" ht="15" hidden="false" customHeight="true" outlineLevel="0" collapsed="false">
      <c r="A38" s="30" t="s">
        <v>1095</v>
      </c>
      <c r="B38" s="30" t="s">
        <v>1109</v>
      </c>
      <c r="C38" s="30" t="s">
        <v>1110</v>
      </c>
      <c r="D38" s="30" t="n">
        <v>1.5</v>
      </c>
      <c r="E38" s="30" t="s">
        <v>1037</v>
      </c>
      <c r="F38" s="30" t="s">
        <v>1012</v>
      </c>
      <c r="G38" s="30" t="s">
        <v>1104</v>
      </c>
    </row>
    <row r="39" customFormat="false" ht="15" hidden="false" customHeight="true" outlineLevel="0" collapsed="false">
      <c r="A39" s="30" t="s">
        <v>1095</v>
      </c>
      <c r="B39" s="30" t="s">
        <v>1111</v>
      </c>
      <c r="C39" s="30" t="s">
        <v>1112</v>
      </c>
      <c r="D39" s="30" t="n">
        <v>2</v>
      </c>
      <c r="E39" s="30" t="s">
        <v>1037</v>
      </c>
      <c r="F39" s="30" t="s">
        <v>1012</v>
      </c>
      <c r="G39" s="30" t="s">
        <v>1104</v>
      </c>
    </row>
    <row r="40" customFormat="false" ht="15" hidden="false" customHeight="true" outlineLevel="0" collapsed="false">
      <c r="A40" s="30" t="s">
        <v>1095</v>
      </c>
      <c r="B40" s="30" t="s">
        <v>1113</v>
      </c>
      <c r="C40" s="30" t="s">
        <v>1114</v>
      </c>
      <c r="D40" s="30" t="n">
        <v>0.8</v>
      </c>
      <c r="E40" s="30"/>
      <c r="F40" s="30" t="s">
        <v>1012</v>
      </c>
      <c r="G40" s="30" t="s">
        <v>1115</v>
      </c>
    </row>
    <row r="41" customFormat="false" ht="15" hidden="false" customHeight="true" outlineLevel="0" collapsed="false">
      <c r="A41" s="30" t="s">
        <v>1095</v>
      </c>
      <c r="B41" s="30" t="s">
        <v>1116</v>
      </c>
      <c r="C41" s="30" t="s">
        <v>1117</v>
      </c>
      <c r="D41" s="30" t="n">
        <v>0.1</v>
      </c>
      <c r="E41" s="30"/>
      <c r="F41" s="30" t="s">
        <v>1012</v>
      </c>
      <c r="G41" s="30" t="s">
        <v>1118</v>
      </c>
    </row>
    <row r="42" customFormat="false" ht="15" hidden="false" customHeight="true" outlineLevel="0" collapsed="false">
      <c r="A42" s="30" t="s">
        <v>1095</v>
      </c>
      <c r="B42" s="30" t="s">
        <v>1119</v>
      </c>
      <c r="C42" s="30" t="s">
        <v>1120</v>
      </c>
      <c r="D42" s="30" t="n">
        <v>0.05</v>
      </c>
      <c r="E42" s="30"/>
      <c r="F42" s="30" t="s">
        <v>1012</v>
      </c>
      <c r="G42" s="30" t="s">
        <v>1121</v>
      </c>
    </row>
    <row r="43" customFormat="false" ht="15" hidden="false" customHeight="true" outlineLevel="0" collapsed="false">
      <c r="A43" s="30" t="s">
        <v>1095</v>
      </c>
      <c r="B43" s="30" t="s">
        <v>1122</v>
      </c>
      <c r="C43" s="30" t="s">
        <v>1123</v>
      </c>
      <c r="D43" s="30" t="n">
        <v>0.15</v>
      </c>
      <c r="E43" s="30"/>
      <c r="F43" s="30" t="s">
        <v>1012</v>
      </c>
      <c r="G43" s="30" t="s">
        <v>1121</v>
      </c>
    </row>
    <row r="44" customFormat="false" ht="15" hidden="false" customHeight="true" outlineLevel="0" collapsed="false">
      <c r="A44" s="30" t="s">
        <v>1095</v>
      </c>
      <c r="B44" s="30" t="s">
        <v>1124</v>
      </c>
      <c r="C44" s="30" t="s">
        <v>1125</v>
      </c>
      <c r="D44" s="30" t="n">
        <v>1.5</v>
      </c>
      <c r="E44" s="30" t="s">
        <v>1037</v>
      </c>
      <c r="F44" s="30" t="s">
        <v>1012</v>
      </c>
      <c r="G44" s="30" t="s">
        <v>1121</v>
      </c>
    </row>
    <row r="45" customFormat="false" ht="16.5" hidden="false" customHeight="true" outlineLevel="0" collapsed="false">
      <c r="A45" s="30" t="s">
        <v>1095</v>
      </c>
      <c r="B45" s="30" t="s">
        <v>1126</v>
      </c>
      <c r="C45" s="30" t="s">
        <v>1127</v>
      </c>
      <c r="D45" s="30" t="n">
        <v>1.5</v>
      </c>
      <c r="E45" s="30" t="s">
        <v>1037</v>
      </c>
      <c r="F45" s="30" t="s">
        <v>1012</v>
      </c>
      <c r="G45" s="30" t="s">
        <v>1128</v>
      </c>
    </row>
    <row r="46" customFormat="false" ht="16.5" hidden="false" customHeight="true" outlineLevel="0" collapsed="false">
      <c r="A46" s="30" t="s">
        <v>1095</v>
      </c>
      <c r="B46" s="30" t="s">
        <v>1129</v>
      </c>
      <c r="C46" s="30" t="s">
        <v>1130</v>
      </c>
      <c r="D46" s="30" t="n">
        <v>2</v>
      </c>
      <c r="E46" s="30" t="s">
        <v>1037</v>
      </c>
      <c r="F46" s="30" t="s">
        <v>1012</v>
      </c>
      <c r="G46" s="30" t="s">
        <v>1128</v>
      </c>
    </row>
    <row r="47" customFormat="false" ht="16.5" hidden="false" customHeight="true" outlineLevel="0" collapsed="false">
      <c r="A47" s="30" t="s">
        <v>1095</v>
      </c>
      <c r="B47" s="30" t="s">
        <v>1131</v>
      </c>
      <c r="C47" s="30" t="s">
        <v>1132</v>
      </c>
      <c r="D47" s="54" t="n">
        <v>0.666666666666667</v>
      </c>
      <c r="E47" s="30" t="s">
        <v>1037</v>
      </c>
      <c r="F47" s="30" t="s">
        <v>1012</v>
      </c>
      <c r="G47" s="30" t="s">
        <v>1128</v>
      </c>
    </row>
    <row r="48" customFormat="false" ht="16.5" hidden="false" customHeight="true" outlineLevel="0" collapsed="false">
      <c r="A48" s="30" t="s">
        <v>1095</v>
      </c>
      <c r="B48" s="30" t="s">
        <v>1133</v>
      </c>
      <c r="C48" s="30" t="s">
        <v>1134</v>
      </c>
      <c r="D48" s="30" t="n">
        <v>0.5</v>
      </c>
      <c r="E48" s="30" t="s">
        <v>1037</v>
      </c>
      <c r="F48" s="30" t="s">
        <v>1012</v>
      </c>
      <c r="G48" s="30" t="s">
        <v>1128</v>
      </c>
    </row>
    <row r="49" customFormat="false" ht="15" hidden="false" customHeight="true" outlineLevel="0" collapsed="false">
      <c r="A49" s="30" t="s">
        <v>1095</v>
      </c>
      <c r="B49" s="30" t="s">
        <v>1135</v>
      </c>
      <c r="C49" s="30" t="s">
        <v>1136</v>
      </c>
      <c r="D49" s="30" t="n">
        <v>0.25</v>
      </c>
      <c r="E49" s="30"/>
      <c r="F49" s="30" t="s">
        <v>1012</v>
      </c>
      <c r="G49" s="30" t="s">
        <v>1137</v>
      </c>
    </row>
    <row r="50" customFormat="false" ht="16.5" hidden="false" customHeight="true" outlineLevel="0" collapsed="false">
      <c r="A50" s="30" t="s">
        <v>1095</v>
      </c>
      <c r="B50" s="30" t="s">
        <v>1138</v>
      </c>
      <c r="C50" s="30" t="s">
        <v>1139</v>
      </c>
      <c r="D50" s="54" t="n">
        <v>0.0625</v>
      </c>
      <c r="E50" s="30"/>
      <c r="F50" s="30" t="s">
        <v>1012</v>
      </c>
      <c r="G50" s="30" t="s">
        <v>1137</v>
      </c>
    </row>
    <row r="51" customFormat="false" ht="16.5" hidden="false" customHeight="true" outlineLevel="0" collapsed="false">
      <c r="A51" s="30" t="s">
        <v>1095</v>
      </c>
      <c r="B51" s="30" t="s">
        <v>1140</v>
      </c>
      <c r="C51" s="30" t="s">
        <v>1141</v>
      </c>
      <c r="D51" s="54" t="n">
        <v>0.125</v>
      </c>
      <c r="E51" s="30"/>
      <c r="F51" s="30" t="s">
        <v>1012</v>
      </c>
      <c r="G51" s="30" t="s">
        <v>1137</v>
      </c>
    </row>
    <row r="52" customFormat="false" ht="15" hidden="false" customHeight="true" outlineLevel="0" collapsed="false">
      <c r="A52" s="30" t="s">
        <v>1095</v>
      </c>
      <c r="B52" s="30" t="s">
        <v>1142</v>
      </c>
      <c r="C52" s="30" t="s">
        <v>1143</v>
      </c>
      <c r="D52" s="30" t="n">
        <v>1</v>
      </c>
      <c r="E52" s="30" t="s">
        <v>1144</v>
      </c>
      <c r="F52" s="30" t="s">
        <v>1012</v>
      </c>
      <c r="G52" s="30" t="s">
        <v>1137</v>
      </c>
    </row>
    <row r="53" customFormat="false" ht="15" hidden="false" customHeight="true" outlineLevel="0" collapsed="false">
      <c r="A53" s="30" t="s">
        <v>1095</v>
      </c>
      <c r="B53" s="30" t="s">
        <v>1145</v>
      </c>
      <c r="C53" s="30" t="s">
        <v>1146</v>
      </c>
      <c r="D53" s="30" t="n">
        <v>3</v>
      </c>
      <c r="E53" s="30" t="s">
        <v>1144</v>
      </c>
      <c r="F53" s="30" t="s">
        <v>1012</v>
      </c>
      <c r="G53" s="30" t="s">
        <v>1137</v>
      </c>
    </row>
    <row r="54" customFormat="false" ht="16.5" hidden="false" customHeight="true" outlineLevel="0" collapsed="false">
      <c r="A54" s="30" t="s">
        <v>1095</v>
      </c>
      <c r="B54" s="30" t="s">
        <v>1147</v>
      </c>
      <c r="C54" s="30" t="s">
        <v>1148</v>
      </c>
      <c r="D54" s="30" t="n">
        <v>0.6</v>
      </c>
      <c r="E54" s="30"/>
      <c r="F54" s="30" t="s">
        <v>1012</v>
      </c>
      <c r="G54" s="30" t="s">
        <v>1038</v>
      </c>
    </row>
    <row r="55" customFormat="false" ht="15" hidden="false" customHeight="true" outlineLevel="0" collapsed="false">
      <c r="A55" s="30" t="s">
        <v>1095</v>
      </c>
      <c r="B55" s="30" t="s">
        <v>1149</v>
      </c>
      <c r="C55" s="30" t="s">
        <v>1150</v>
      </c>
      <c r="D55" s="30" t="n">
        <v>7</v>
      </c>
      <c r="E55" s="30" t="s">
        <v>1144</v>
      </c>
      <c r="F55" s="30" t="s">
        <v>1012</v>
      </c>
      <c r="G55" s="30" t="s">
        <v>1151</v>
      </c>
    </row>
    <row r="56" customFormat="false" ht="15" hidden="false" customHeight="true" outlineLevel="0" collapsed="false">
      <c r="A56" s="30" t="s">
        <v>1095</v>
      </c>
      <c r="B56" s="30" t="s">
        <v>1152</v>
      </c>
      <c r="C56" s="30" t="s">
        <v>1153</v>
      </c>
      <c r="D56" s="30" t="n">
        <v>15</v>
      </c>
      <c r="E56" s="30" t="s">
        <v>1144</v>
      </c>
      <c r="F56" s="30" t="s">
        <v>1012</v>
      </c>
      <c r="G56" s="30" t="s">
        <v>1151</v>
      </c>
    </row>
    <row r="57" customFormat="false" ht="15" hidden="false" customHeight="true" outlineLevel="0" collapsed="false">
      <c r="A57" s="30" t="s">
        <v>81</v>
      </c>
      <c r="B57" s="30" t="s">
        <v>1154</v>
      </c>
      <c r="C57" s="30" t="s">
        <v>1155</v>
      </c>
      <c r="D57" s="30" t="n">
        <v>6</v>
      </c>
      <c r="E57" s="30" t="s">
        <v>1156</v>
      </c>
      <c r="F57" s="30" t="s">
        <v>1012</v>
      </c>
      <c r="G57" s="30" t="s">
        <v>1157</v>
      </c>
    </row>
    <row r="58" customFormat="false" ht="16.5" hidden="false" customHeight="true" outlineLevel="0" collapsed="false">
      <c r="A58" s="30" t="s">
        <v>1095</v>
      </c>
      <c r="B58" s="30" t="s">
        <v>1158</v>
      </c>
      <c r="C58" s="30" t="s">
        <v>1159</v>
      </c>
      <c r="D58" s="30" t="n">
        <v>1.2</v>
      </c>
      <c r="E58" s="30" t="s">
        <v>1037</v>
      </c>
      <c r="F58" s="30" t="s">
        <v>1088</v>
      </c>
      <c r="G58" s="30" t="s">
        <v>1160</v>
      </c>
    </row>
    <row r="59" customFormat="false" ht="16.5" hidden="false" customHeight="true" outlineLevel="0" collapsed="false">
      <c r="A59" s="30" t="s">
        <v>1095</v>
      </c>
      <c r="B59" s="30" t="s">
        <v>1161</v>
      </c>
      <c r="C59" s="30" t="s">
        <v>1162</v>
      </c>
      <c r="D59" s="30" t="n">
        <v>1.5</v>
      </c>
      <c r="E59" s="30" t="s">
        <v>1037</v>
      </c>
      <c r="F59" s="30" t="s">
        <v>1088</v>
      </c>
      <c r="G59" s="30" t="s">
        <v>1160</v>
      </c>
    </row>
    <row r="60" customFormat="false" ht="16.5" hidden="false" customHeight="true" outlineLevel="0" collapsed="false">
      <c r="A60" s="30" t="s">
        <v>1095</v>
      </c>
      <c r="B60" s="30" t="s">
        <v>1163</v>
      </c>
      <c r="C60" s="30" t="s">
        <v>1164</v>
      </c>
      <c r="D60" s="30" t="n">
        <v>0.4</v>
      </c>
      <c r="E60" s="30"/>
      <c r="F60" s="30" t="s">
        <v>1012</v>
      </c>
      <c r="G60" s="30" t="s">
        <v>1165</v>
      </c>
    </row>
    <row r="61" customFormat="false" ht="13.5" hidden="false" customHeight="true" outlineLevel="0" collapsed="false">
      <c r="A61" s="30" t="s">
        <v>1095</v>
      </c>
      <c r="B61" s="30" t="s">
        <v>1166</v>
      </c>
      <c r="C61" s="30" t="s">
        <v>1167</v>
      </c>
      <c r="D61" s="30" t="n">
        <v>0.1</v>
      </c>
      <c r="E61" s="30"/>
      <c r="F61" s="30" t="s">
        <v>1088</v>
      </c>
      <c r="G61" s="30" t="s">
        <v>1165</v>
      </c>
    </row>
    <row r="62" customFormat="false" ht="16.5" hidden="false" customHeight="true" outlineLevel="0" collapsed="false">
      <c r="A62" s="30" t="s">
        <v>1095</v>
      </c>
      <c r="B62" s="30" t="s">
        <v>1168</v>
      </c>
      <c r="C62" s="30" t="s">
        <v>1169</v>
      </c>
      <c r="D62" s="30" t="n">
        <v>5</v>
      </c>
      <c r="E62" s="30"/>
      <c r="F62" s="30" t="s">
        <v>1012</v>
      </c>
      <c r="G62" s="30" t="s">
        <v>1170</v>
      </c>
    </row>
    <row r="63" customFormat="false" ht="13.5" hidden="false" customHeight="true" outlineLevel="0" collapsed="false">
      <c r="A63" s="30" t="s">
        <v>1095</v>
      </c>
      <c r="B63" s="30" t="s">
        <v>1171</v>
      </c>
      <c r="C63" s="30" t="s">
        <v>1172</v>
      </c>
      <c r="D63" s="30" t="n">
        <v>2</v>
      </c>
      <c r="E63" s="30"/>
      <c r="F63" s="30" t="s">
        <v>1012</v>
      </c>
      <c r="G63" s="30" t="s">
        <v>1170</v>
      </c>
    </row>
    <row r="64" customFormat="false" ht="13.5" hidden="false" customHeight="true" outlineLevel="0" collapsed="false">
      <c r="A64" s="30" t="s">
        <v>1095</v>
      </c>
      <c r="B64" s="30" t="s">
        <v>1173</v>
      </c>
      <c r="C64" s="30" t="s">
        <v>1174</v>
      </c>
      <c r="D64" s="30" t="n">
        <v>1</v>
      </c>
      <c r="E64" s="30"/>
      <c r="F64" s="30" t="s">
        <v>1012</v>
      </c>
      <c r="G64" s="30" t="s">
        <v>1170</v>
      </c>
    </row>
    <row r="65" customFormat="false" ht="16.5" hidden="false" customHeight="true" outlineLevel="0" collapsed="false">
      <c r="A65" s="30" t="s">
        <v>1095</v>
      </c>
      <c r="B65" s="30" t="s">
        <v>1175</v>
      </c>
      <c r="C65" s="30" t="s">
        <v>1176</v>
      </c>
      <c r="D65" s="30" t="n">
        <v>0.85</v>
      </c>
      <c r="E65" s="30" t="s">
        <v>1037</v>
      </c>
      <c r="F65" s="30" t="s">
        <v>1012</v>
      </c>
      <c r="G65" s="30" t="s">
        <v>1170</v>
      </c>
    </row>
    <row r="66" customFormat="false" ht="16.5" hidden="false" customHeight="true" outlineLevel="0" collapsed="false">
      <c r="A66" s="30" t="s">
        <v>1095</v>
      </c>
      <c r="B66" s="30" t="s">
        <v>1177</v>
      </c>
      <c r="C66" s="30" t="s">
        <v>1178</v>
      </c>
      <c r="D66" s="30" t="n">
        <v>1</v>
      </c>
      <c r="E66" s="30" t="s">
        <v>1037</v>
      </c>
      <c r="F66" s="30" t="s">
        <v>1012</v>
      </c>
      <c r="G66" s="30" t="s">
        <v>1170</v>
      </c>
    </row>
    <row r="67" customFormat="false" ht="16.5" hidden="false" customHeight="true" outlineLevel="0" collapsed="false">
      <c r="A67" s="30" t="s">
        <v>906</v>
      </c>
      <c r="B67" s="30" t="s">
        <v>1179</v>
      </c>
      <c r="C67" s="30" t="s">
        <v>1180</v>
      </c>
      <c r="D67" s="30" t="n">
        <v>10</v>
      </c>
      <c r="E67" s="30"/>
      <c r="F67" s="30" t="s">
        <v>1088</v>
      </c>
      <c r="G67" s="30" t="s">
        <v>1181</v>
      </c>
    </row>
    <row r="68" customFormat="false" ht="16.5" hidden="false" customHeight="true" outlineLevel="0" collapsed="false">
      <c r="A68" s="30" t="s">
        <v>906</v>
      </c>
      <c r="B68" s="30" t="s">
        <v>1182</v>
      </c>
      <c r="C68" s="30" t="s">
        <v>1183</v>
      </c>
      <c r="D68" s="30" t="n">
        <v>14</v>
      </c>
      <c r="E68" s="30"/>
      <c r="F68" s="30" t="s">
        <v>1088</v>
      </c>
      <c r="G68" s="30" t="s">
        <v>1181</v>
      </c>
    </row>
    <row r="69" customFormat="false" ht="16.5" hidden="false" customHeight="true" outlineLevel="0" collapsed="false">
      <c r="A69" s="30" t="s">
        <v>906</v>
      </c>
      <c r="B69" s="30" t="s">
        <v>1184</v>
      </c>
      <c r="C69" s="30" t="s">
        <v>1185</v>
      </c>
      <c r="D69" s="30" t="n">
        <v>17</v>
      </c>
      <c r="E69" s="30"/>
      <c r="F69" s="30" t="s">
        <v>1088</v>
      </c>
      <c r="G69" s="30" t="s">
        <v>1181</v>
      </c>
    </row>
    <row r="70" customFormat="false" ht="16.5" hidden="false" customHeight="true" outlineLevel="0" collapsed="false">
      <c r="A70" s="30" t="s">
        <v>906</v>
      </c>
      <c r="B70" s="30" t="s">
        <v>1186</v>
      </c>
      <c r="C70" s="30" t="s">
        <v>1187</v>
      </c>
      <c r="D70" s="30" t="n">
        <v>20</v>
      </c>
      <c r="E70" s="30"/>
      <c r="F70" s="30" t="s">
        <v>1088</v>
      </c>
      <c r="G70" s="30" t="s">
        <v>1181</v>
      </c>
    </row>
    <row r="71" customFormat="false" ht="16.5" hidden="false" customHeight="true" outlineLevel="0" collapsed="false">
      <c r="A71" s="30" t="s">
        <v>906</v>
      </c>
      <c r="B71" s="30" t="s">
        <v>1188</v>
      </c>
      <c r="C71" s="30" t="s">
        <v>1189</v>
      </c>
      <c r="D71" s="30" t="n">
        <v>23</v>
      </c>
      <c r="E71" s="30"/>
      <c r="F71" s="30" t="s">
        <v>1088</v>
      </c>
      <c r="G71" s="30" t="s">
        <v>1181</v>
      </c>
    </row>
    <row r="72" customFormat="false" ht="16.5" hidden="false" customHeight="true" outlineLevel="0" collapsed="false">
      <c r="A72" s="30" t="s">
        <v>906</v>
      </c>
      <c r="B72" s="30" t="s">
        <v>1190</v>
      </c>
      <c r="C72" s="30" t="s">
        <v>1191</v>
      </c>
      <c r="D72" s="30" t="n">
        <v>27</v>
      </c>
      <c r="E72" s="30"/>
      <c r="F72" s="30" t="s">
        <v>1088</v>
      </c>
      <c r="G72" s="30" t="s">
        <v>1181</v>
      </c>
    </row>
    <row r="73" customFormat="false" ht="16.5" hidden="false" customHeight="true" outlineLevel="0" collapsed="false">
      <c r="A73" s="30" t="s">
        <v>906</v>
      </c>
      <c r="B73" s="30" t="s">
        <v>1192</v>
      </c>
      <c r="C73" s="30" t="s">
        <v>1193</v>
      </c>
      <c r="D73" s="30" t="n">
        <v>31</v>
      </c>
      <c r="E73" s="30"/>
      <c r="F73" s="30" t="s">
        <v>1088</v>
      </c>
      <c r="G73" s="30" t="s">
        <v>1181</v>
      </c>
    </row>
    <row r="74" customFormat="false" ht="16.5" hidden="false" customHeight="true" outlineLevel="0" collapsed="false">
      <c r="A74" s="30" t="s">
        <v>906</v>
      </c>
      <c r="B74" s="30" t="s">
        <v>1194</v>
      </c>
      <c r="C74" s="30" t="s">
        <v>1195</v>
      </c>
      <c r="D74" s="30" t="n">
        <v>36</v>
      </c>
      <c r="E74" s="30"/>
      <c r="F74" s="30" t="s">
        <v>1088</v>
      </c>
      <c r="G74" s="30" t="s">
        <v>1181</v>
      </c>
    </row>
    <row r="75" customFormat="false" ht="16.5" hidden="false" customHeight="true" outlineLevel="0" collapsed="false">
      <c r="A75" s="30" t="s">
        <v>906</v>
      </c>
      <c r="B75" s="30" t="s">
        <v>1196</v>
      </c>
      <c r="C75" s="30" t="s">
        <v>1197</v>
      </c>
      <c r="D75" s="30" t="n">
        <v>2</v>
      </c>
      <c r="E75" s="30"/>
      <c r="F75" s="30" t="s">
        <v>1088</v>
      </c>
      <c r="G75" s="30" t="s">
        <v>1181</v>
      </c>
    </row>
    <row r="76" customFormat="false" ht="13.5" hidden="false" customHeight="true" outlineLevel="0" collapsed="false">
      <c r="A76" s="30" t="s">
        <v>89</v>
      </c>
      <c r="B76" s="30" t="s">
        <v>1198</v>
      </c>
      <c r="C76" s="30" t="s">
        <v>1199</v>
      </c>
      <c r="D76" s="30" t="n">
        <v>30</v>
      </c>
      <c r="E76" s="30"/>
      <c r="F76" s="30" t="s">
        <v>1088</v>
      </c>
      <c r="G76" s="30" t="s">
        <v>1200</v>
      </c>
    </row>
    <row r="77" customFormat="false" ht="13.5" hidden="false" customHeight="true" outlineLevel="0" collapsed="false">
      <c r="A77" s="30" t="s">
        <v>89</v>
      </c>
      <c r="B77" s="30" t="s">
        <v>1201</v>
      </c>
      <c r="C77" s="30" t="s">
        <v>1202</v>
      </c>
      <c r="D77" s="30" t="n">
        <v>45</v>
      </c>
      <c r="E77" s="30"/>
      <c r="F77" s="30" t="s">
        <v>1088</v>
      </c>
      <c r="G77" s="30" t="s">
        <v>1200</v>
      </c>
    </row>
    <row r="78" customFormat="false" ht="13.5" hidden="false" customHeight="true" outlineLevel="0" collapsed="false">
      <c r="A78" s="30" t="s">
        <v>89</v>
      </c>
      <c r="B78" s="30" t="s">
        <v>1203</v>
      </c>
      <c r="C78" s="30" t="s">
        <v>1204</v>
      </c>
      <c r="D78" s="30" t="n">
        <v>60</v>
      </c>
      <c r="E78" s="30"/>
      <c r="F78" s="30" t="s">
        <v>1088</v>
      </c>
      <c r="G78" s="30" t="s">
        <v>1200</v>
      </c>
    </row>
    <row r="79" customFormat="false" ht="13.5" hidden="false" customHeight="true" outlineLevel="0" collapsed="false">
      <c r="A79" s="30" t="s">
        <v>89</v>
      </c>
      <c r="B79" s="30" t="s">
        <v>1205</v>
      </c>
      <c r="C79" s="30" t="s">
        <v>1206</v>
      </c>
      <c r="D79" s="30" t="n">
        <v>15</v>
      </c>
      <c r="E79" s="30"/>
      <c r="F79" s="30" t="s">
        <v>1088</v>
      </c>
      <c r="G79" s="30" t="s">
        <v>1200</v>
      </c>
    </row>
    <row r="80" customFormat="false" ht="13.5" hidden="false" customHeight="true" outlineLevel="0" collapsed="false">
      <c r="A80" s="30" t="s">
        <v>1008</v>
      </c>
      <c r="B80" s="30" t="s">
        <v>1207</v>
      </c>
      <c r="C80" s="30" t="s">
        <v>1208</v>
      </c>
      <c r="D80" s="30" t="n">
        <v>0.5</v>
      </c>
      <c r="E80" s="30" t="s">
        <v>1037</v>
      </c>
      <c r="F80" s="30" t="s">
        <v>1012</v>
      </c>
      <c r="G80" s="30" t="s">
        <v>1209</v>
      </c>
    </row>
    <row r="81" customFormat="false" ht="13.5" hidden="false" customHeight="true" outlineLevel="0" collapsed="false">
      <c r="A81" s="30" t="inlineStr">
        <is>
          <t>救済</t>
        </is>
      </c>
      <c r="B81" s="30" t="inlineStr">
        <is>
          <t>ballmass_boost_weeks</t>
        </is>
      </c>
      <c r="C81" s="30" t="inlineStr">
        <is>
          <t>ボールマスが1段階上になる連続最下位の週数</t>
        </is>
      </c>
      <c r="D81" s="30" t="n">
        <v>10</v>
      </c>
      <c r="E81" s="30" t="inlineStr">
        <is>
          <t>週</t>
        </is>
      </c>
      <c r="F81" s="30" t="inlineStr">
        <is>
          <t>確定</t>
        </is>
      </c>
      <c r="G81" s="30" t="inlineStr">
        <is>
          <t>8.8.1</t>
        </is>
      </c>
    </row>
    <row r="82" customFormat="false" ht="13.5" hidden="false" customHeight="true" outlineLevel="0" collapsed="false">
      <c r="A82" s="30" t="inlineStr">
        <is>
          <t>経済</t>
        </is>
      </c>
      <c r="B82" s="30" t="inlineStr">
        <is>
          <t>owner_discount</t>
        </is>
      </c>
      <c r="C82" s="30" t="inlineStr">
        <is>
          <t>所有者の拠点・施設での購入価格（定価に対する割合）</t>
        </is>
      </c>
      <c r="D82" s="30" t="n">
        <v>0.7</v>
      </c>
      <c r="E82" s="30" t="inlineStr">
        <is>
          <t>倍</t>
        </is>
      </c>
      <c r="F82" s="30" t="inlineStr">
        <is>
          <t>案</t>
        </is>
      </c>
      <c r="G82" s="30" t="n">
        <v>11.3</v>
      </c>
    </row>
    <row r="83" customFormat="false" ht="13.5" hidden="false" customHeight="true" outlineLevel="0" collapsed="false">
      <c r="A83" s="30" t="inlineStr">
        <is>
          <t>化石</t>
        </is>
      </c>
      <c r="B83" s="30" t="inlineStr">
        <is>
          <t>fossil_hatch_weeks</t>
        </is>
      </c>
      <c r="C83" s="30" t="inlineStr">
        <is>
          <t>化石が孵るまでの週数</t>
        </is>
      </c>
      <c r="D83" s="30" t="n">
        <v>3</v>
      </c>
      <c r="E83" s="30" t="inlineStr">
        <is>
          <t>週</t>
        </is>
      </c>
      <c r="F83" s="30" t="inlineStr">
        <is>
          <t>案</t>
        </is>
      </c>
      <c r="G83" s="30" t="inlineStr">
        <is>
          <t>3.2.2</t>
        </is>
      </c>
    </row>
    <row r="84" customFormat="false" ht="13.5" hidden="false" customHeight="true" outlineLevel="0" collapsed="false">
      <c r="A84" s="30" t="inlineStr">
        <is>
          <t>化石</t>
        </is>
      </c>
      <c r="B84" s="30" t="inlineStr">
        <is>
          <t>fossil_level_offset</t>
        </is>
      </c>
      <c r="C84" s="30" t="inlineStr">
        <is>
          <t>孵ったポケモンのLv（手持ちの最高Lvからの差、最低5）</t>
        </is>
      </c>
      <c r="D84" s="30" t="n">
        <v>-5</v>
      </c>
      <c r="E84" s="30"/>
      <c r="F84" s="30" t="inlineStr">
        <is>
          <t>案</t>
        </is>
      </c>
      <c r="G84" s="30" t="inlineStr">
        <is>
          <t>3.2.2</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60"/>
    <col collapsed="false" customWidth="true" hidden="false" outlineLevel="0" max="4" min="4" style="1" width="14"/>
  </cols>
  <sheetData>
    <row r="1" customFormat="false" ht="15" hidden="false" customHeight="true" outlineLevel="0" collapsed="false">
      <c r="A1" s="25" t="s">
        <v>1002</v>
      </c>
      <c r="B1" s="25" t="s">
        <v>1210</v>
      </c>
      <c r="C1" s="25" t="s">
        <v>1211</v>
      </c>
      <c r="D1" s="25" t="s">
        <v>4</v>
      </c>
    </row>
    <row r="2" customFormat="false" ht="16.5" hidden="false" customHeight="true" outlineLevel="0" collapsed="false">
      <c r="A2" s="55" t="s">
        <v>1212</v>
      </c>
      <c r="B2" s="55" t="s">
        <v>1213</v>
      </c>
      <c r="C2" s="52" t="s">
        <v>1214</v>
      </c>
      <c r="D2" s="55" t="s">
        <v>1215</v>
      </c>
    </row>
    <row r="3" customFormat="false" ht="16.5" hidden="false" customHeight="true" outlineLevel="0" collapsed="false">
      <c r="A3" s="55" t="s">
        <v>1216</v>
      </c>
      <c r="B3" s="55" t="s">
        <v>1213</v>
      </c>
      <c r="C3" s="52" t="s">
        <v>1217</v>
      </c>
      <c r="D3" s="55" t="s">
        <v>1215</v>
      </c>
    </row>
    <row r="4" customFormat="false" ht="16.5" hidden="false" customHeight="true" outlineLevel="0" collapsed="false">
      <c r="A4" s="55" t="s">
        <v>1218</v>
      </c>
      <c r="B4" s="55" t="s">
        <v>1213</v>
      </c>
      <c r="C4" s="52" t="s">
        <v>1219</v>
      </c>
      <c r="D4" s="55"/>
    </row>
    <row r="5" customFormat="false" ht="16.5" hidden="false" customHeight="true" outlineLevel="0" collapsed="false">
      <c r="A5" s="55" t="s">
        <v>1220</v>
      </c>
      <c r="B5" s="55" t="s">
        <v>1213</v>
      </c>
      <c r="C5" s="52" t="s">
        <v>1221</v>
      </c>
      <c r="D5" s="55"/>
    </row>
    <row r="6" customFormat="false" ht="16.5" hidden="false" customHeight="true" outlineLevel="0" collapsed="false">
      <c r="A6" s="55" t="s">
        <v>1222</v>
      </c>
      <c r="B6" s="55" t="s">
        <v>1213</v>
      </c>
      <c r="C6" s="52" t="s">
        <v>1223</v>
      </c>
      <c r="D6" s="55"/>
    </row>
    <row r="7" customFormat="false" ht="16.5" hidden="false" customHeight="true" outlineLevel="0" collapsed="false">
      <c r="A7" s="55" t="s">
        <v>1224</v>
      </c>
      <c r="B7" s="55" t="s">
        <v>1213</v>
      </c>
      <c r="C7" s="52" t="s">
        <v>1225</v>
      </c>
      <c r="D7" s="55"/>
    </row>
    <row r="8" customFormat="false" ht="17.15" hidden="false" customHeight="false" outlineLevel="0" collapsed="false">
      <c r="A8" s="55" t="s">
        <v>1226</v>
      </c>
      <c r="B8" s="55" t="s">
        <v>1227</v>
      </c>
      <c r="C8" s="52" t="s">
        <v>1228</v>
      </c>
      <c r="D8" s="52"/>
    </row>
    <row r="9" customFormat="false" ht="17.15" hidden="false" customHeight="false" outlineLevel="0" collapsed="false">
      <c r="A9" s="55" t="s">
        <v>1229</v>
      </c>
      <c r="B9" s="55" t="s">
        <v>1227</v>
      </c>
      <c r="C9" s="52" t="s">
        <v>1230</v>
      </c>
      <c r="D9" s="52"/>
    </row>
    <row r="10" customFormat="false" ht="79.85" hidden="false" customHeight="false" outlineLevel="0" collapsed="false">
      <c r="A10" s="55" t="s">
        <v>1231</v>
      </c>
      <c r="B10" s="55" t="s">
        <v>1227</v>
      </c>
      <c r="C10" s="52" t="s">
        <v>1232</v>
      </c>
      <c r="D10" s="52" t="s">
        <v>1233</v>
      </c>
    </row>
    <row r="11" customFormat="false" ht="17.15" hidden="false" customHeight="false" outlineLevel="0" collapsed="false">
      <c r="A11" s="55" t="s">
        <v>1234</v>
      </c>
      <c r="B11" s="55" t="s">
        <v>1027</v>
      </c>
      <c r="C11" s="52" t="s">
        <v>1235</v>
      </c>
      <c r="D11" s="52"/>
    </row>
    <row r="12" customFormat="false" ht="17.15" hidden="false" customHeight="false" outlineLevel="0" collapsed="false">
      <c r="A12" s="55" t="s">
        <v>1236</v>
      </c>
      <c r="B12" s="55" t="s">
        <v>1027</v>
      </c>
      <c r="C12" s="52" t="s">
        <v>1237</v>
      </c>
      <c r="D12" s="52"/>
    </row>
    <row r="13" customFormat="false" ht="17.15" hidden="false" customHeight="false" outlineLevel="0" collapsed="false">
      <c r="A13" s="55" t="s">
        <v>1238</v>
      </c>
      <c r="B13" s="55" t="s">
        <v>1239</v>
      </c>
      <c r="C13" s="52" t="s">
        <v>1240</v>
      </c>
      <c r="D13" s="52"/>
    </row>
    <row r="14" customFormat="false" ht="17.15" hidden="false" customHeight="false" outlineLevel="0" collapsed="false">
      <c r="A14" s="55" t="s">
        <v>1241</v>
      </c>
      <c r="B14" s="55" t="s">
        <v>1239</v>
      </c>
      <c r="C14" s="52" t="s">
        <v>1242</v>
      </c>
      <c r="D14" s="52"/>
    </row>
    <row r="15" customFormat="false" ht="17.15" hidden="false" customHeight="false" outlineLevel="0" collapsed="false">
      <c r="A15" s="55" t="s">
        <v>1243</v>
      </c>
      <c r="B15" s="55" t="s">
        <v>1239</v>
      </c>
      <c r="C15" s="52" t="s">
        <v>1244</v>
      </c>
      <c r="D15" s="52"/>
    </row>
    <row r="16" customFormat="false" ht="17.15" hidden="false" customHeight="false" outlineLevel="0" collapsed="false">
      <c r="A16" s="55" t="s">
        <v>1245</v>
      </c>
      <c r="B16" s="55" t="s">
        <v>1239</v>
      </c>
      <c r="C16" s="52" t="s">
        <v>1246</v>
      </c>
      <c r="D16" s="52"/>
    </row>
    <row r="17" customFormat="false" ht="17.15" hidden="false" customHeight="false" outlineLevel="0" collapsed="false">
      <c r="A17" s="55" t="s">
        <v>1247</v>
      </c>
      <c r="B17" s="55" t="s">
        <v>1239</v>
      </c>
      <c r="C17" s="52" t="s">
        <v>1248</v>
      </c>
      <c r="D17" s="52"/>
    </row>
    <row r="18" customFormat="false" ht="17.15" hidden="false" customHeight="false" outlineLevel="0" collapsed="false">
      <c r="A18" s="55" t="s">
        <v>1249</v>
      </c>
      <c r="B18" s="55" t="s">
        <v>1250</v>
      </c>
      <c r="C18" s="52" t="s">
        <v>1251</v>
      </c>
      <c r="D18" s="52"/>
    </row>
    <row r="19" customFormat="false" ht="17.15" hidden="false" customHeight="false" outlineLevel="0" collapsed="false">
      <c r="A19" s="55" t="s">
        <v>1252</v>
      </c>
      <c r="B19" s="55" t="s">
        <v>1250</v>
      </c>
      <c r="C19" s="52" t="s">
        <v>1253</v>
      </c>
      <c r="D19" s="52"/>
    </row>
    <row r="20" customFormat="false" ht="17.15" hidden="false" customHeight="false" outlineLevel="0" collapsed="false">
      <c r="A20" s="55" t="s">
        <v>1254</v>
      </c>
      <c r="B20" s="55" t="s">
        <v>1250</v>
      </c>
      <c r="C20" s="52" t="s">
        <v>1255</v>
      </c>
      <c r="D20" s="52"/>
    </row>
    <row r="21" customFormat="false" ht="17.15" hidden="false" customHeight="false" outlineLevel="0" collapsed="false">
      <c r="A21" s="55" t="s">
        <v>1256</v>
      </c>
      <c r="B21" s="55" t="s">
        <v>1250</v>
      </c>
      <c r="C21" s="52" t="s">
        <v>1257</v>
      </c>
      <c r="D21" s="52"/>
    </row>
    <row r="22" customFormat="false" ht="17.15" hidden="false" customHeight="false" outlineLevel="0" collapsed="false">
      <c r="A22" s="55" t="s">
        <v>1258</v>
      </c>
      <c r="B22" s="55" t="s">
        <v>1250</v>
      </c>
      <c r="C22" s="52" t="s">
        <v>1259</v>
      </c>
      <c r="D22" s="52"/>
    </row>
    <row r="23" customFormat="false" ht="17.15" hidden="false" customHeight="false" outlineLevel="0" collapsed="false">
      <c r="A23" s="55" t="s">
        <v>1260</v>
      </c>
      <c r="B23" s="55" t="s">
        <v>1250</v>
      </c>
      <c r="C23" s="52" t="s">
        <v>1261</v>
      </c>
      <c r="D23" s="52"/>
    </row>
    <row r="24" customFormat="false" ht="17.15" hidden="false" customHeight="false" outlineLevel="0" collapsed="false">
      <c r="A24" s="55" t="s">
        <v>1262</v>
      </c>
      <c r="B24" s="55" t="s">
        <v>1263</v>
      </c>
      <c r="C24" s="52" t="s">
        <v>1264</v>
      </c>
      <c r="D24" s="52"/>
    </row>
    <row r="25" customFormat="false" ht="17.15" hidden="false" customHeight="false" outlineLevel="0" collapsed="false">
      <c r="A25" s="55" t="s">
        <v>1265</v>
      </c>
      <c r="B25" s="55" t="s">
        <v>1263</v>
      </c>
      <c r="C25" s="52" t="s">
        <v>1266</v>
      </c>
      <c r="D25" s="52"/>
    </row>
    <row r="26" customFormat="false" ht="17.15" hidden="false" customHeight="false" outlineLevel="0" collapsed="false">
      <c r="A26" s="55" t="s">
        <v>1267</v>
      </c>
      <c r="B26" s="55" t="s">
        <v>1263</v>
      </c>
      <c r="C26" s="52" t="s">
        <v>1268</v>
      </c>
      <c r="D26" s="52"/>
    </row>
    <row r="27" customFormat="false" ht="17.15" hidden="false" customHeight="false" outlineLevel="0" collapsed="false">
      <c r="A27" s="55" t="s">
        <v>1269</v>
      </c>
      <c r="B27" s="55" t="s">
        <v>1263</v>
      </c>
      <c r="C27" s="52" t="s">
        <v>1270</v>
      </c>
      <c r="D27" s="52"/>
    </row>
    <row r="28" customFormat="false" ht="17.15" hidden="false" customHeight="false" outlineLevel="0" collapsed="false">
      <c r="A28" s="55" t="s">
        <v>1271</v>
      </c>
      <c r="B28" s="55" t="s">
        <v>1272</v>
      </c>
      <c r="C28" s="52" t="s">
        <v>1273</v>
      </c>
      <c r="D28" s="52" t="s">
        <v>1274</v>
      </c>
    </row>
    <row r="29" customFormat="false" ht="32.8" hidden="false" customHeight="false" outlineLevel="0" collapsed="false">
      <c r="A29" s="55" t="s">
        <v>1275</v>
      </c>
      <c r="B29" s="55" t="s">
        <v>1272</v>
      </c>
      <c r="C29" s="52" t="s">
        <v>1276</v>
      </c>
      <c r="D29" s="52" t="s">
        <v>1277</v>
      </c>
    </row>
    <row r="30" customFormat="false" ht="17.15" hidden="false" customHeight="false" outlineLevel="0" collapsed="false">
      <c r="A30" s="55" t="s">
        <v>1278</v>
      </c>
      <c r="B30" s="55" t="s">
        <v>1272</v>
      </c>
      <c r="C30" s="52" t="s">
        <v>1279</v>
      </c>
      <c r="D30"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8"/>
    <col collapsed="false" customWidth="true" hidden="false" outlineLevel="0" max="4" min="4" style="1" width="18"/>
    <col collapsed="false" customWidth="true" hidden="false" outlineLevel="0" max="5" min="5" style="1" width="12"/>
    <col collapsed="false" customWidth="true" hidden="false" outlineLevel="0" max="6" min="6" style="1" width="7"/>
    <col collapsed="false" customWidth="true" hidden="false" outlineLevel="0" max="7" min="7" style="1" width="18"/>
  </cols>
  <sheetData>
    <row r="1" customFormat="false" ht="15" hidden="false" customHeight="true" outlineLevel="0" collapsed="false">
      <c r="A1" s="25" t="s">
        <v>906</v>
      </c>
      <c r="B1" s="25" t="s">
        <v>1280</v>
      </c>
      <c r="C1" s="25" t="s">
        <v>189</v>
      </c>
      <c r="D1" s="25" t="s">
        <v>1281</v>
      </c>
      <c r="E1" s="25" t="s">
        <v>1070</v>
      </c>
      <c r="F1" s="25" t="s">
        <v>1282</v>
      </c>
      <c r="G1" s="25" t="s">
        <v>1283</v>
      </c>
    </row>
    <row r="2" customFormat="false" ht="16.5" hidden="false" customHeight="true" outlineLevel="0" collapsed="false">
      <c r="A2" s="30" t="s">
        <v>923</v>
      </c>
      <c r="B2" s="30" t="s">
        <v>1284</v>
      </c>
      <c r="C2" s="30" t="s">
        <v>1285</v>
      </c>
      <c r="D2" s="30" t="s">
        <v>1286</v>
      </c>
      <c r="E2" s="30" t="s">
        <v>593</v>
      </c>
      <c r="F2" s="30" t="s">
        <v>1287</v>
      </c>
      <c r="G2" s="30" t="s">
        <v>1288</v>
      </c>
    </row>
    <row r="3" customFormat="false" ht="16.5" hidden="false" customHeight="true" outlineLevel="0" collapsed="false">
      <c r="A3" s="30" t="s">
        <v>940</v>
      </c>
      <c r="B3" s="30" t="s">
        <v>1289</v>
      </c>
      <c r="C3" s="30" t="s">
        <v>1290</v>
      </c>
      <c r="D3" s="30" t="s">
        <v>1291</v>
      </c>
      <c r="E3" s="30" t="s">
        <v>644</v>
      </c>
      <c r="F3" s="30" t="s">
        <v>1287</v>
      </c>
      <c r="G3" s="30" t="s">
        <v>1288</v>
      </c>
    </row>
    <row r="4" customFormat="false" ht="16.5" hidden="false" customHeight="true" outlineLevel="0" collapsed="false">
      <c r="A4" s="30" t="s">
        <v>957</v>
      </c>
      <c r="B4" s="30" t="s">
        <v>1292</v>
      </c>
      <c r="C4" s="30" t="s">
        <v>1293</v>
      </c>
      <c r="D4" s="30" t="s">
        <v>1294</v>
      </c>
      <c r="E4" s="30" t="s">
        <v>597</v>
      </c>
      <c r="F4" s="30" t="s">
        <v>1295</v>
      </c>
      <c r="G4" s="30" t="s">
        <v>1288</v>
      </c>
    </row>
    <row r="5" customFormat="false" ht="16.5" hidden="false" customHeight="true" outlineLevel="0" collapsed="false">
      <c r="A5" s="30" t="s">
        <v>957</v>
      </c>
      <c r="B5" s="30" t="s">
        <v>1292</v>
      </c>
      <c r="C5" s="30" t="s">
        <v>1293</v>
      </c>
      <c r="D5" s="30" t="s">
        <v>1294</v>
      </c>
      <c r="E5" s="30" t="s">
        <v>398</v>
      </c>
      <c r="F5" s="30" t="s">
        <v>1287</v>
      </c>
      <c r="G5" s="30" t="s">
        <v>1288</v>
      </c>
    </row>
    <row r="6" customFormat="false" ht="16.5" hidden="false" customHeight="true" outlineLevel="0" collapsed="false">
      <c r="A6" s="30" t="s">
        <v>960</v>
      </c>
      <c r="B6" s="30" t="s">
        <v>1296</v>
      </c>
      <c r="C6" s="30" t="s">
        <v>1297</v>
      </c>
      <c r="D6" s="30" t="s">
        <v>1294</v>
      </c>
      <c r="E6" s="30" t="s">
        <v>645</v>
      </c>
      <c r="F6" s="30" t="s">
        <v>1295</v>
      </c>
      <c r="G6" s="30" t="s">
        <v>1288</v>
      </c>
    </row>
    <row r="7" customFormat="false" ht="16.5" hidden="false" customHeight="true" outlineLevel="0" collapsed="false">
      <c r="A7" s="30" t="s">
        <v>960</v>
      </c>
      <c r="B7" s="30" t="s">
        <v>1296</v>
      </c>
      <c r="C7" s="30" t="s">
        <v>1297</v>
      </c>
      <c r="D7" s="30" t="s">
        <v>1294</v>
      </c>
      <c r="E7" s="30" t="s">
        <v>507</v>
      </c>
      <c r="F7" s="30" t="s">
        <v>1287</v>
      </c>
      <c r="G7" s="30" t="s">
        <v>1288</v>
      </c>
    </row>
    <row r="8" customFormat="false" ht="16.5" hidden="false" customHeight="true" outlineLevel="0" collapsed="false">
      <c r="A8" s="30" t="s">
        <v>963</v>
      </c>
      <c r="B8" s="30" t="s">
        <v>1298</v>
      </c>
      <c r="C8" s="30" t="s">
        <v>1299</v>
      </c>
      <c r="D8" s="30" t="s">
        <v>1294</v>
      </c>
      <c r="E8" s="30" t="s">
        <v>520</v>
      </c>
      <c r="F8" s="30" t="s">
        <v>1295</v>
      </c>
      <c r="G8" s="30" t="s">
        <v>1288</v>
      </c>
    </row>
    <row r="9" customFormat="false" ht="16.5" hidden="false" customHeight="true" outlineLevel="0" collapsed="false">
      <c r="A9" s="30" t="s">
        <v>963</v>
      </c>
      <c r="B9" s="30" t="s">
        <v>1298</v>
      </c>
      <c r="C9" s="30" t="s">
        <v>1299</v>
      </c>
      <c r="D9" s="30" t="s">
        <v>1294</v>
      </c>
      <c r="E9" s="30" t="s">
        <v>452</v>
      </c>
      <c r="F9" s="30" t="s">
        <v>1287</v>
      </c>
      <c r="G9" s="30" t="s">
        <v>1288</v>
      </c>
    </row>
    <row r="10" customFormat="false" ht="16.5" hidden="false" customHeight="true" outlineLevel="0" collapsed="false">
      <c r="A10" s="30" t="s">
        <v>985</v>
      </c>
      <c r="B10" s="30" t="s">
        <v>1300</v>
      </c>
      <c r="C10" s="30" t="s">
        <v>1301</v>
      </c>
      <c r="D10" s="30" t="s">
        <v>1302</v>
      </c>
      <c r="E10" s="30" t="s">
        <v>619</v>
      </c>
      <c r="F10" s="30" t="s">
        <v>1295</v>
      </c>
      <c r="G10" s="30" t="s">
        <v>1288</v>
      </c>
    </row>
    <row r="11" customFormat="false" ht="16.5" hidden="false" customHeight="true" outlineLevel="0" collapsed="false">
      <c r="A11" s="30" t="s">
        <v>985</v>
      </c>
      <c r="B11" s="30" t="s">
        <v>1300</v>
      </c>
      <c r="C11" s="30" t="s">
        <v>1301</v>
      </c>
      <c r="D11" s="30" t="s">
        <v>1302</v>
      </c>
      <c r="E11" s="30" t="s">
        <v>576</v>
      </c>
      <c r="F11" s="30" t="s">
        <v>1303</v>
      </c>
      <c r="G11" s="30" t="s">
        <v>1288</v>
      </c>
    </row>
    <row r="12" customFormat="false" ht="16.5" hidden="false" customHeight="true" outlineLevel="0" collapsed="false">
      <c r="A12" s="30" t="s">
        <v>985</v>
      </c>
      <c r="B12" s="30" t="s">
        <v>1300</v>
      </c>
      <c r="C12" s="30" t="s">
        <v>1301</v>
      </c>
      <c r="D12" s="30" t="s">
        <v>1302</v>
      </c>
      <c r="E12" s="30" t="s">
        <v>620</v>
      </c>
      <c r="F12" s="30" t="s">
        <v>1287</v>
      </c>
      <c r="G12" s="30" t="s">
        <v>1288</v>
      </c>
    </row>
    <row r="13" customFormat="false" ht="16.5" hidden="false" customHeight="true" outlineLevel="0" collapsed="false">
      <c r="A13" s="30" t="s">
        <v>993</v>
      </c>
      <c r="B13" s="30" t="s">
        <v>1304</v>
      </c>
      <c r="C13" s="30" t="s">
        <v>1305</v>
      </c>
      <c r="D13" s="30" t="s">
        <v>1302</v>
      </c>
      <c r="E13" s="30" t="s">
        <v>486</v>
      </c>
      <c r="F13" s="30" t="s">
        <v>1295</v>
      </c>
      <c r="G13" s="30" t="s">
        <v>1288</v>
      </c>
    </row>
    <row r="14" customFormat="false" ht="16.5" hidden="false" customHeight="true" outlineLevel="0" collapsed="false">
      <c r="A14" s="30" t="s">
        <v>993</v>
      </c>
      <c r="B14" s="30" t="s">
        <v>1304</v>
      </c>
      <c r="C14" s="30" t="s">
        <v>1305</v>
      </c>
      <c r="D14" s="30" t="s">
        <v>1302</v>
      </c>
      <c r="E14" s="30" t="s">
        <v>539</v>
      </c>
      <c r="F14" s="30" t="s">
        <v>1303</v>
      </c>
      <c r="G14" s="30" t="s">
        <v>1288</v>
      </c>
    </row>
    <row r="15" customFormat="false" ht="16.5" hidden="false" customHeight="true" outlineLevel="0" collapsed="false">
      <c r="A15" s="30" t="s">
        <v>993</v>
      </c>
      <c r="B15" s="30" t="s">
        <v>1304</v>
      </c>
      <c r="C15" s="30" t="s">
        <v>1305</v>
      </c>
      <c r="D15" s="30" t="s">
        <v>1302</v>
      </c>
      <c r="E15" s="30" t="s">
        <v>488</v>
      </c>
      <c r="F15" s="30" t="s">
        <v>1287</v>
      </c>
      <c r="G15" s="30" t="s">
        <v>1288</v>
      </c>
    </row>
    <row r="16" customFormat="false" ht="16.5" hidden="false" customHeight="true" outlineLevel="0" collapsed="false">
      <c r="A16" s="30" t="s">
        <v>917</v>
      </c>
      <c r="B16" s="30" t="s">
        <v>1306</v>
      </c>
      <c r="C16" s="30" t="s">
        <v>1307</v>
      </c>
      <c r="D16" s="30" t="s">
        <v>1308</v>
      </c>
      <c r="E16" s="30" t="s">
        <v>466</v>
      </c>
      <c r="F16" s="30" t="s">
        <v>1295</v>
      </c>
      <c r="G16" s="30" t="s">
        <v>1288</v>
      </c>
    </row>
    <row r="17" customFormat="false" ht="16.5" hidden="false" customHeight="true" outlineLevel="0" collapsed="false">
      <c r="A17" s="30" t="s">
        <v>917</v>
      </c>
      <c r="B17" s="30" t="s">
        <v>1306</v>
      </c>
      <c r="C17" s="30" t="s">
        <v>1307</v>
      </c>
      <c r="D17" s="30" t="s">
        <v>1308</v>
      </c>
      <c r="E17" s="30" t="s">
        <v>423</v>
      </c>
      <c r="F17" s="30" t="s">
        <v>1303</v>
      </c>
      <c r="G17" s="30" t="s">
        <v>1288</v>
      </c>
    </row>
    <row r="18" customFormat="false" ht="16.5" hidden="false" customHeight="true" outlineLevel="0" collapsed="false">
      <c r="A18" s="30" t="s">
        <v>917</v>
      </c>
      <c r="B18" s="30" t="s">
        <v>1306</v>
      </c>
      <c r="C18" s="30" t="s">
        <v>1307</v>
      </c>
      <c r="D18" s="30" t="s">
        <v>1308</v>
      </c>
      <c r="E18" s="30" t="s">
        <v>623</v>
      </c>
      <c r="F18" s="30" t="s">
        <v>1287</v>
      </c>
      <c r="G18" s="30" t="s">
        <v>1288</v>
      </c>
    </row>
    <row r="19"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7"/>
    <col collapsed="false" customWidth="true" hidden="false" outlineLevel="0" max="4" min="4" style="1" width="13"/>
    <col collapsed="false" customWidth="true" hidden="false" outlineLevel="0" max="7" min="5" style="1" width="8"/>
    <col collapsed="false" customWidth="true" hidden="false" outlineLevel="0" max="8" min="8" style="1" width="26"/>
  </cols>
  <sheetData>
    <row r="1" customFormat="false" ht="16.5" hidden="false" customHeight="true" outlineLevel="0" collapsed="false">
      <c r="A1" s="25" t="s">
        <v>904</v>
      </c>
      <c r="B1" s="25" t="s">
        <v>902</v>
      </c>
      <c r="C1" s="25" t="s">
        <v>1309</v>
      </c>
      <c r="D1" s="25" t="s">
        <v>1070</v>
      </c>
      <c r="E1" s="25" t="s">
        <v>1310</v>
      </c>
      <c r="F1" s="25" t="s">
        <v>1311</v>
      </c>
      <c r="G1" s="25" t="s">
        <v>1312</v>
      </c>
      <c r="H1" s="25" t="s">
        <v>4</v>
      </c>
    </row>
    <row r="2" customFormat="false" ht="16.5" hidden="false" customHeight="true" outlineLevel="0" collapsed="false">
      <c r="A2" s="30" t="s">
        <v>910</v>
      </c>
      <c r="B2" s="30" t="s">
        <v>908</v>
      </c>
      <c r="C2" s="30" t="s">
        <v>1313</v>
      </c>
      <c r="D2" s="30" t="s">
        <v>663</v>
      </c>
      <c r="E2" s="30" t="n">
        <v>100</v>
      </c>
      <c r="F2" s="30" t="n">
        <v>2</v>
      </c>
      <c r="G2" s="30" t="n">
        <v>7</v>
      </c>
      <c r="H2" s="30"/>
    </row>
    <row r="3" customFormat="false" ht="16.5" hidden="false" customHeight="true" outlineLevel="0" collapsed="false">
      <c r="A3" s="30" t="s">
        <v>914</v>
      </c>
      <c r="B3" s="30" t="s">
        <v>908</v>
      </c>
      <c r="C3" s="30" t="s">
        <v>1314</v>
      </c>
      <c r="D3" s="30" t="s">
        <v>367</v>
      </c>
      <c r="E3" s="30" t="n">
        <v>50</v>
      </c>
      <c r="F3" s="30" t="n">
        <v>2</v>
      </c>
      <c r="G3" s="30" t="n">
        <v>7</v>
      </c>
      <c r="H3" s="30"/>
    </row>
    <row r="4" customFormat="false" ht="16.5" hidden="false" customHeight="true" outlineLevel="0" collapsed="false">
      <c r="A4" s="30" t="s">
        <v>914</v>
      </c>
      <c r="B4" s="30" t="s">
        <v>908</v>
      </c>
      <c r="C4" s="30" t="s">
        <v>1314</v>
      </c>
      <c r="D4" s="30" t="s">
        <v>355</v>
      </c>
      <c r="E4" s="30" t="n">
        <v>50</v>
      </c>
      <c r="F4" s="30" t="n">
        <v>2</v>
      </c>
      <c r="G4" s="30" t="n">
        <v>7</v>
      </c>
      <c r="H4" s="30"/>
    </row>
    <row r="5" customFormat="false" ht="16.5" hidden="false" customHeight="true" outlineLevel="0" collapsed="false">
      <c r="A5" s="30" t="s">
        <v>919</v>
      </c>
      <c r="B5" s="30" t="s">
        <v>908</v>
      </c>
      <c r="C5" s="30" t="s">
        <v>1314</v>
      </c>
      <c r="D5" s="30" t="s">
        <v>367</v>
      </c>
      <c r="E5" s="30" t="n">
        <v>50</v>
      </c>
      <c r="F5" s="30" t="n">
        <v>2</v>
      </c>
      <c r="G5" s="30" t="n">
        <v>7</v>
      </c>
      <c r="H5" s="30"/>
    </row>
    <row r="6" customFormat="false" ht="16.5" hidden="false" customHeight="true" outlineLevel="0" collapsed="false">
      <c r="A6" s="30" t="s">
        <v>919</v>
      </c>
      <c r="B6" s="30" t="s">
        <v>908</v>
      </c>
      <c r="C6" s="30" t="s">
        <v>1314</v>
      </c>
      <c r="D6" s="30" t="s">
        <v>355</v>
      </c>
      <c r="E6" s="30" t="n">
        <v>50</v>
      </c>
      <c r="F6" s="30" t="n">
        <v>2</v>
      </c>
      <c r="G6" s="30" t="n">
        <v>7</v>
      </c>
      <c r="H6" s="30"/>
    </row>
    <row r="7" customFormat="false" ht="16.5" hidden="false" customHeight="true" outlineLevel="0" collapsed="false">
      <c r="A7" s="30" t="s">
        <v>336</v>
      </c>
      <c r="B7" s="30" t="s">
        <v>908</v>
      </c>
      <c r="C7" s="30" t="s">
        <v>1314</v>
      </c>
      <c r="D7" s="30" t="s">
        <v>329</v>
      </c>
      <c r="E7" s="30" t="n">
        <v>20</v>
      </c>
      <c r="F7" s="30" t="n">
        <v>2</v>
      </c>
      <c r="G7" s="30" t="n">
        <v>7</v>
      </c>
      <c r="H7" s="30"/>
    </row>
    <row r="8" customFormat="false" ht="16.5" hidden="false" customHeight="true" outlineLevel="0" collapsed="false">
      <c r="A8" s="30" t="s">
        <v>336</v>
      </c>
      <c r="B8" s="30" t="s">
        <v>908</v>
      </c>
      <c r="C8" s="30" t="s">
        <v>1314</v>
      </c>
      <c r="D8" s="30" t="s">
        <v>335</v>
      </c>
      <c r="E8" s="30" t="n">
        <v>20</v>
      </c>
      <c r="F8" s="30" t="n">
        <v>2</v>
      </c>
      <c r="G8" s="30" t="n">
        <v>7</v>
      </c>
      <c r="H8" s="30"/>
    </row>
    <row r="9" customFormat="false" ht="16.5" hidden="false" customHeight="true" outlineLevel="0" collapsed="false">
      <c r="A9" s="30" t="s">
        <v>336</v>
      </c>
      <c r="B9" s="30" t="s">
        <v>908</v>
      </c>
      <c r="C9" s="30" t="s">
        <v>1314</v>
      </c>
      <c r="D9" s="30" t="s">
        <v>393</v>
      </c>
      <c r="E9" s="30" t="n">
        <v>20</v>
      </c>
      <c r="F9" s="30" t="n">
        <v>2</v>
      </c>
      <c r="G9" s="30" t="n">
        <v>7</v>
      </c>
      <c r="H9" s="30"/>
    </row>
    <row r="10" customFormat="false" ht="16.5" hidden="false" customHeight="true" outlineLevel="0" collapsed="false">
      <c r="A10" s="30" t="s">
        <v>336</v>
      </c>
      <c r="B10" s="30" t="s">
        <v>908</v>
      </c>
      <c r="C10" s="30" t="s">
        <v>1314</v>
      </c>
      <c r="D10" s="30" t="s">
        <v>346</v>
      </c>
      <c r="E10" s="30" t="n">
        <v>20</v>
      </c>
      <c r="F10" s="30" t="n">
        <v>2</v>
      </c>
      <c r="G10" s="30" t="n">
        <v>7</v>
      </c>
      <c r="H10" s="30"/>
    </row>
    <row r="11" customFormat="false" ht="16.5" hidden="false" customHeight="true" outlineLevel="0" collapsed="false">
      <c r="A11" s="30" t="s">
        <v>336</v>
      </c>
      <c r="B11" s="30" t="s">
        <v>908</v>
      </c>
      <c r="C11" s="30" t="s">
        <v>1314</v>
      </c>
      <c r="D11" s="30" t="s">
        <v>348</v>
      </c>
      <c r="E11" s="30" t="n">
        <v>20</v>
      </c>
      <c r="F11" s="30" t="n">
        <v>2</v>
      </c>
      <c r="G11" s="30" t="n">
        <v>7</v>
      </c>
      <c r="H11" s="30"/>
    </row>
    <row r="12" customFormat="false" ht="16.5" hidden="false" customHeight="true" outlineLevel="0" collapsed="false">
      <c r="A12" s="30" t="s">
        <v>924</v>
      </c>
      <c r="B12" s="30" t="s">
        <v>908</v>
      </c>
      <c r="C12" s="30" t="s">
        <v>1314</v>
      </c>
      <c r="D12" s="30" t="s">
        <v>367</v>
      </c>
      <c r="E12" s="30" t="n">
        <v>17</v>
      </c>
      <c r="F12" s="30" t="n">
        <v>2</v>
      </c>
      <c r="G12" s="30" t="n">
        <v>7</v>
      </c>
      <c r="H12" s="30"/>
    </row>
    <row r="13" customFormat="false" ht="16.5" hidden="false" customHeight="true" outlineLevel="0" collapsed="false">
      <c r="A13" s="30" t="s">
        <v>924</v>
      </c>
      <c r="B13" s="30" t="s">
        <v>908</v>
      </c>
      <c r="C13" s="30" t="s">
        <v>1314</v>
      </c>
      <c r="D13" s="30" t="s">
        <v>437</v>
      </c>
      <c r="E13" s="30" t="n">
        <v>17</v>
      </c>
      <c r="F13" s="30" t="n">
        <v>2</v>
      </c>
      <c r="G13" s="30" t="n">
        <v>7</v>
      </c>
      <c r="H13" s="30"/>
    </row>
    <row r="14" customFormat="false" ht="16.5" hidden="false" customHeight="true" outlineLevel="0" collapsed="false">
      <c r="A14" s="30" t="s">
        <v>924</v>
      </c>
      <c r="B14" s="30" t="s">
        <v>908</v>
      </c>
      <c r="C14" s="30" t="s">
        <v>1314</v>
      </c>
      <c r="D14" s="30" t="s">
        <v>355</v>
      </c>
      <c r="E14" s="30" t="n">
        <v>17</v>
      </c>
      <c r="F14" s="30" t="n">
        <v>2</v>
      </c>
      <c r="G14" s="30" t="n">
        <v>7</v>
      </c>
      <c r="H14" s="30"/>
    </row>
    <row r="15" customFormat="false" ht="16.5" hidden="false" customHeight="true" outlineLevel="0" collapsed="false">
      <c r="A15" s="30" t="s">
        <v>924</v>
      </c>
      <c r="B15" s="30" t="s">
        <v>908</v>
      </c>
      <c r="C15" s="30" t="s">
        <v>1314</v>
      </c>
      <c r="D15" s="30" t="s">
        <v>377</v>
      </c>
      <c r="E15" s="30" t="n">
        <v>17</v>
      </c>
      <c r="F15" s="30" t="n">
        <v>2</v>
      </c>
      <c r="G15" s="30" t="n">
        <v>7</v>
      </c>
      <c r="H15" s="30"/>
    </row>
    <row r="16" customFormat="false" ht="16.5" hidden="false" customHeight="true" outlineLevel="0" collapsed="false">
      <c r="A16" s="30" t="s">
        <v>924</v>
      </c>
      <c r="B16" s="30" t="s">
        <v>908</v>
      </c>
      <c r="C16" s="30" t="s">
        <v>1314</v>
      </c>
      <c r="D16" s="30" t="s">
        <v>415</v>
      </c>
      <c r="E16" s="30" t="n">
        <v>16</v>
      </c>
      <c r="F16" s="30" t="n">
        <v>2</v>
      </c>
      <c r="G16" s="30" t="n">
        <v>7</v>
      </c>
      <c r="H16" s="30"/>
    </row>
    <row r="17" customFormat="false" ht="16.5" hidden="false" customHeight="true" outlineLevel="0" collapsed="false">
      <c r="A17" s="30" t="s">
        <v>924</v>
      </c>
      <c r="B17" s="30" t="s">
        <v>908</v>
      </c>
      <c r="C17" s="30" t="s">
        <v>1314</v>
      </c>
      <c r="D17" s="30" t="s">
        <v>421</v>
      </c>
      <c r="E17" s="30" t="n">
        <v>16</v>
      </c>
      <c r="F17" s="30" t="n">
        <v>2</v>
      </c>
      <c r="G17" s="30" t="n">
        <v>7</v>
      </c>
      <c r="H17" s="30"/>
    </row>
    <row r="18" customFormat="false" ht="16.5" hidden="false" customHeight="true" outlineLevel="0" collapsed="false">
      <c r="A18" s="30" t="s">
        <v>925</v>
      </c>
      <c r="B18" s="30" t="s">
        <v>908</v>
      </c>
      <c r="C18" s="30" t="s">
        <v>1313</v>
      </c>
      <c r="D18" s="30" t="s">
        <v>663</v>
      </c>
      <c r="E18" s="30" t="n">
        <v>38</v>
      </c>
      <c r="F18" s="30" t="n">
        <v>2</v>
      </c>
      <c r="G18" s="30" t="n">
        <v>7</v>
      </c>
      <c r="H18" s="30"/>
    </row>
    <row r="19" customFormat="false" ht="16.5" hidden="false" customHeight="true" outlineLevel="0" collapsed="false">
      <c r="A19" s="30" t="s">
        <v>925</v>
      </c>
      <c r="B19" s="30" t="s">
        <v>908</v>
      </c>
      <c r="C19" s="30" t="s">
        <v>1313</v>
      </c>
      <c r="D19" s="30" t="s">
        <v>491</v>
      </c>
      <c r="E19" s="30" t="n">
        <v>37</v>
      </c>
      <c r="F19" s="30" t="n">
        <v>2</v>
      </c>
      <c r="G19" s="30" t="n">
        <v>7</v>
      </c>
      <c r="H19" s="30"/>
    </row>
    <row r="20" customFormat="false" ht="16.5" hidden="false" customHeight="true" outlineLevel="0" collapsed="false">
      <c r="A20" s="30" t="s">
        <v>925</v>
      </c>
      <c r="B20" s="30" t="s">
        <v>908</v>
      </c>
      <c r="C20" s="30" t="s">
        <v>1313</v>
      </c>
      <c r="D20" s="30" t="s">
        <v>493</v>
      </c>
      <c r="E20" s="30" t="n">
        <v>25</v>
      </c>
      <c r="F20" s="30" t="n">
        <v>2</v>
      </c>
      <c r="G20" s="30" t="n">
        <v>7</v>
      </c>
      <c r="H20" s="30"/>
    </row>
    <row r="21" customFormat="false" ht="16.5" hidden="false" customHeight="true" outlineLevel="0" collapsed="false">
      <c r="A21" s="30" t="s">
        <v>925</v>
      </c>
      <c r="B21" s="30" t="s">
        <v>908</v>
      </c>
      <c r="C21" s="30" t="s">
        <v>1314</v>
      </c>
      <c r="D21" s="30" t="s">
        <v>367</v>
      </c>
      <c r="E21" s="30" t="n">
        <v>25</v>
      </c>
      <c r="F21" s="30" t="n">
        <v>2</v>
      </c>
      <c r="G21" s="30" t="n">
        <v>7</v>
      </c>
      <c r="H21" s="30"/>
    </row>
    <row r="22" customFormat="false" ht="16.5" hidden="false" customHeight="true" outlineLevel="0" collapsed="false">
      <c r="A22" s="30" t="s">
        <v>925</v>
      </c>
      <c r="B22" s="30" t="s">
        <v>908</v>
      </c>
      <c r="C22" s="30" t="s">
        <v>1314</v>
      </c>
      <c r="D22" s="30" t="s">
        <v>355</v>
      </c>
      <c r="E22" s="30" t="n">
        <v>25</v>
      </c>
      <c r="F22" s="30" t="n">
        <v>2</v>
      </c>
      <c r="G22" s="30" t="n">
        <v>7</v>
      </c>
      <c r="H22" s="30"/>
    </row>
    <row r="23" customFormat="false" ht="16.5" hidden="false" customHeight="true" outlineLevel="0" collapsed="false">
      <c r="A23" s="30" t="s">
        <v>925</v>
      </c>
      <c r="B23" s="30" t="s">
        <v>908</v>
      </c>
      <c r="C23" s="30" t="s">
        <v>1314</v>
      </c>
      <c r="D23" s="30" t="s">
        <v>377</v>
      </c>
      <c r="E23" s="30" t="n">
        <v>25</v>
      </c>
      <c r="F23" s="30" t="n">
        <v>2</v>
      </c>
      <c r="G23" s="30" t="n">
        <v>7</v>
      </c>
      <c r="H23" s="30"/>
    </row>
    <row r="24" customFormat="false" ht="16.5" hidden="false" customHeight="true" outlineLevel="0" collapsed="false">
      <c r="A24" s="30" t="s">
        <v>925</v>
      </c>
      <c r="B24" s="30" t="s">
        <v>908</v>
      </c>
      <c r="C24" s="30" t="s">
        <v>1314</v>
      </c>
      <c r="D24" s="30" t="s">
        <v>329</v>
      </c>
      <c r="E24" s="30" t="n">
        <v>25</v>
      </c>
      <c r="F24" s="30" t="n">
        <v>2</v>
      </c>
      <c r="G24" s="30" t="n">
        <v>7</v>
      </c>
      <c r="H24" s="30"/>
    </row>
    <row r="25" customFormat="false" ht="16.5" hidden="false" customHeight="true" outlineLevel="0" collapsed="false">
      <c r="A25" s="30" t="s">
        <v>927</v>
      </c>
      <c r="B25" s="30" t="s">
        <v>908</v>
      </c>
      <c r="C25" s="30" t="s">
        <v>1314</v>
      </c>
      <c r="D25" s="30" t="s">
        <v>360</v>
      </c>
      <c r="E25" s="30" t="n">
        <v>60</v>
      </c>
      <c r="F25" s="30" t="n">
        <v>2</v>
      </c>
      <c r="G25" s="30" t="n">
        <v>7</v>
      </c>
      <c r="H25" s="30"/>
    </row>
    <row r="26" customFormat="false" ht="16.5" hidden="false" customHeight="true" outlineLevel="0" collapsed="false">
      <c r="A26" s="30" t="s">
        <v>927</v>
      </c>
      <c r="B26" s="30" t="s">
        <v>908</v>
      </c>
      <c r="C26" s="30" t="s">
        <v>1314</v>
      </c>
      <c r="D26" s="30" t="s">
        <v>370</v>
      </c>
      <c r="E26" s="30" t="n">
        <v>40</v>
      </c>
      <c r="F26" s="30" t="n">
        <v>2</v>
      </c>
      <c r="G26" s="30" t="n">
        <v>7</v>
      </c>
      <c r="H26" s="30"/>
    </row>
    <row r="27" customFormat="false" ht="16.5" hidden="false" customHeight="true" outlineLevel="0" collapsed="false">
      <c r="A27" s="30" t="s">
        <v>513</v>
      </c>
      <c r="B27" s="30" t="s">
        <v>908</v>
      </c>
      <c r="C27" s="30" t="s">
        <v>1315</v>
      </c>
      <c r="D27" s="30" t="s">
        <v>705</v>
      </c>
      <c r="E27" s="30"/>
      <c r="F27" s="30" t="n">
        <v>40</v>
      </c>
      <c r="G27" s="30" t="n">
        <v>40</v>
      </c>
      <c r="H27" s="30" t="s">
        <v>1316</v>
      </c>
    </row>
    <row r="28" customFormat="false" ht="16.5" hidden="false" customHeight="true" outlineLevel="0" collapsed="false">
      <c r="A28" s="30" t="s">
        <v>513</v>
      </c>
      <c r="B28" s="30" t="s">
        <v>908</v>
      </c>
      <c r="C28" s="30" t="s">
        <v>1314</v>
      </c>
      <c r="D28" s="30" t="s">
        <v>525</v>
      </c>
      <c r="E28" s="30" t="n">
        <v>38</v>
      </c>
      <c r="F28" s="30" t="n">
        <v>34</v>
      </c>
      <c r="G28" s="30" t="n">
        <v>42</v>
      </c>
      <c r="H28" s="30"/>
    </row>
    <row r="29" customFormat="false" ht="16.5" hidden="false" customHeight="true" outlineLevel="0" collapsed="false">
      <c r="A29" s="30" t="s">
        <v>513</v>
      </c>
      <c r="B29" s="30" t="s">
        <v>908</v>
      </c>
      <c r="C29" s="30" t="s">
        <v>1314</v>
      </c>
      <c r="D29" s="30" t="s">
        <v>511</v>
      </c>
      <c r="E29" s="30" t="n">
        <v>25</v>
      </c>
      <c r="F29" s="30" t="n">
        <v>34</v>
      </c>
      <c r="G29" s="30" t="n">
        <v>42</v>
      </c>
      <c r="H29" s="30"/>
    </row>
    <row r="30" customFormat="false" ht="16.5" hidden="false" customHeight="true" outlineLevel="0" collapsed="false">
      <c r="A30" s="30" t="s">
        <v>513</v>
      </c>
      <c r="B30" s="30" t="s">
        <v>908</v>
      </c>
      <c r="C30" s="30" t="s">
        <v>1314</v>
      </c>
      <c r="D30" s="30" t="s">
        <v>538</v>
      </c>
      <c r="E30" s="30" t="n">
        <v>25</v>
      </c>
      <c r="F30" s="30" t="n">
        <v>34</v>
      </c>
      <c r="G30" s="30" t="n">
        <v>42</v>
      </c>
      <c r="H30" s="30"/>
    </row>
    <row r="31" customFormat="false" ht="16.5" hidden="false" customHeight="true" outlineLevel="0" collapsed="false">
      <c r="A31" s="30" t="s">
        <v>513</v>
      </c>
      <c r="B31" s="30" t="s">
        <v>908</v>
      </c>
      <c r="C31" s="30" t="s">
        <v>1314</v>
      </c>
      <c r="D31" s="30" t="s">
        <v>539</v>
      </c>
      <c r="E31" s="30" t="n">
        <v>12</v>
      </c>
      <c r="F31" s="30" t="n">
        <v>34</v>
      </c>
      <c r="G31" s="30" t="n">
        <v>42</v>
      </c>
      <c r="H31" s="30"/>
    </row>
    <row r="32" customFormat="false" ht="16.5" hidden="false" customHeight="true" outlineLevel="0" collapsed="false">
      <c r="A32" s="30" t="s">
        <v>932</v>
      </c>
      <c r="B32" s="30" t="s">
        <v>908</v>
      </c>
      <c r="C32" s="30" t="s">
        <v>1314</v>
      </c>
      <c r="D32" s="30" t="s">
        <v>724</v>
      </c>
      <c r="E32" s="30" t="n">
        <v>50</v>
      </c>
      <c r="F32" s="30" t="n">
        <v>36</v>
      </c>
      <c r="G32" s="30" t="n">
        <v>44</v>
      </c>
      <c r="H32" s="30"/>
    </row>
    <row r="33" customFormat="false" ht="16.5" hidden="false" customHeight="true" outlineLevel="0" collapsed="false">
      <c r="A33" s="30" t="s">
        <v>932</v>
      </c>
      <c r="B33" s="30" t="s">
        <v>908</v>
      </c>
      <c r="C33" s="30" t="s">
        <v>1314</v>
      </c>
      <c r="D33" s="30" t="s">
        <v>729</v>
      </c>
      <c r="E33" s="30" t="n">
        <v>33</v>
      </c>
      <c r="F33" s="30" t="n">
        <v>36</v>
      </c>
      <c r="G33" s="30" t="n">
        <v>44</v>
      </c>
      <c r="H33" s="30"/>
    </row>
    <row r="34" customFormat="false" ht="16.5" hidden="false" customHeight="true" outlineLevel="0" collapsed="false">
      <c r="A34" s="30" t="s">
        <v>932</v>
      </c>
      <c r="B34" s="30" t="s">
        <v>908</v>
      </c>
      <c r="C34" s="30" t="s">
        <v>1314</v>
      </c>
      <c r="D34" s="30" t="s">
        <v>731</v>
      </c>
      <c r="E34" s="30" t="n">
        <v>17</v>
      </c>
      <c r="F34" s="30" t="n">
        <v>36</v>
      </c>
      <c r="G34" s="30" t="n">
        <v>44</v>
      </c>
      <c r="H34" s="30"/>
    </row>
    <row r="35" customFormat="false" ht="16.5" hidden="false" customHeight="true" outlineLevel="0" collapsed="false">
      <c r="A35" s="30" t="s">
        <v>936</v>
      </c>
      <c r="B35" s="30" t="s">
        <v>934</v>
      </c>
      <c r="C35" s="30" t="s">
        <v>1314</v>
      </c>
      <c r="D35" s="30" t="s">
        <v>510</v>
      </c>
      <c r="E35" s="30" t="n">
        <v>25</v>
      </c>
      <c r="F35" s="30" t="n">
        <v>8</v>
      </c>
      <c r="G35" s="30" t="n">
        <v>14</v>
      </c>
      <c r="H35" s="30"/>
    </row>
    <row r="36" customFormat="false" ht="16.5" hidden="false" customHeight="true" outlineLevel="0" collapsed="false">
      <c r="A36" s="30" t="s">
        <v>936</v>
      </c>
      <c r="B36" s="30" t="s">
        <v>934</v>
      </c>
      <c r="C36" s="30" t="s">
        <v>1314</v>
      </c>
      <c r="D36" s="30" t="s">
        <v>525</v>
      </c>
      <c r="E36" s="30" t="n">
        <v>25</v>
      </c>
      <c r="F36" s="30" t="n">
        <v>8</v>
      </c>
      <c r="G36" s="30" t="n">
        <v>14</v>
      </c>
      <c r="H36" s="30"/>
    </row>
    <row r="37" customFormat="false" ht="16.5" hidden="false" customHeight="true" outlineLevel="0" collapsed="false">
      <c r="A37" s="30" t="s">
        <v>936</v>
      </c>
      <c r="B37" s="30" t="s">
        <v>934</v>
      </c>
      <c r="C37" s="30" t="s">
        <v>1314</v>
      </c>
      <c r="D37" s="30" t="s">
        <v>424</v>
      </c>
      <c r="E37" s="30" t="n">
        <v>25</v>
      </c>
      <c r="F37" s="30" t="n">
        <v>8</v>
      </c>
      <c r="G37" s="30" t="n">
        <v>14</v>
      </c>
      <c r="H37" s="30"/>
    </row>
    <row r="38" customFormat="false" ht="16.5" hidden="false" customHeight="true" outlineLevel="0" collapsed="false">
      <c r="A38" s="30" t="s">
        <v>936</v>
      </c>
      <c r="B38" s="30" t="s">
        <v>934</v>
      </c>
      <c r="C38" s="30" t="s">
        <v>1314</v>
      </c>
      <c r="D38" s="30" t="s">
        <v>441</v>
      </c>
      <c r="E38" s="30" t="n">
        <v>25</v>
      </c>
      <c r="F38" s="30" t="n">
        <v>8</v>
      </c>
      <c r="G38" s="30" t="n">
        <v>14</v>
      </c>
      <c r="H38" s="30"/>
    </row>
    <row r="39" customFormat="false" ht="16.5" hidden="false" customHeight="true" outlineLevel="0" collapsed="false">
      <c r="A39" s="30" t="s">
        <v>938</v>
      </c>
      <c r="B39" s="30" t="s">
        <v>934</v>
      </c>
      <c r="C39" s="30" t="s">
        <v>1314</v>
      </c>
      <c r="D39" s="30" t="s">
        <v>404</v>
      </c>
      <c r="E39" s="30" t="n">
        <v>28</v>
      </c>
      <c r="F39" s="30" t="n">
        <v>8</v>
      </c>
      <c r="G39" s="30" t="n">
        <v>14</v>
      </c>
      <c r="H39" s="30" t="s">
        <v>1317</v>
      </c>
    </row>
    <row r="40" customFormat="false" ht="16.5" hidden="false" customHeight="true" outlineLevel="0" collapsed="false">
      <c r="A40" s="30" t="s">
        <v>938</v>
      </c>
      <c r="B40" s="30" t="s">
        <v>934</v>
      </c>
      <c r="C40" s="30" t="s">
        <v>1314</v>
      </c>
      <c r="D40" s="30" t="s">
        <v>377</v>
      </c>
      <c r="E40" s="30" t="n">
        <v>27</v>
      </c>
      <c r="F40" s="30" t="n">
        <v>8</v>
      </c>
      <c r="G40" s="30" t="n">
        <v>14</v>
      </c>
      <c r="H40" s="30"/>
    </row>
    <row r="41" customFormat="false" ht="16.5" hidden="false" customHeight="true" outlineLevel="0" collapsed="false">
      <c r="A41" s="30" t="s">
        <v>938</v>
      </c>
      <c r="B41" s="30" t="s">
        <v>934</v>
      </c>
      <c r="C41" s="30" t="s">
        <v>1314</v>
      </c>
      <c r="D41" s="30" t="s">
        <v>382</v>
      </c>
      <c r="E41" s="30" t="n">
        <v>27</v>
      </c>
      <c r="F41" s="30" t="n">
        <v>8</v>
      </c>
      <c r="G41" s="30" t="n">
        <v>14</v>
      </c>
      <c r="H41" s="30" t="s">
        <v>1318</v>
      </c>
    </row>
    <row r="42" customFormat="false" ht="16.5" hidden="false" customHeight="true" outlineLevel="0" collapsed="false">
      <c r="A42" s="30" t="s">
        <v>938</v>
      </c>
      <c r="B42" s="30" t="s">
        <v>934</v>
      </c>
      <c r="C42" s="30" t="s">
        <v>1314</v>
      </c>
      <c r="D42" s="30" t="s">
        <v>370</v>
      </c>
      <c r="E42" s="30" t="n">
        <v>18</v>
      </c>
      <c r="F42" s="30" t="n">
        <v>8</v>
      </c>
      <c r="G42" s="30" t="n">
        <v>14</v>
      </c>
      <c r="H42" s="30"/>
    </row>
    <row r="43" customFormat="false" ht="16.5" hidden="false" customHeight="true" outlineLevel="0" collapsed="false">
      <c r="A43" s="30" t="s">
        <v>941</v>
      </c>
      <c r="B43" s="30" t="s">
        <v>934</v>
      </c>
      <c r="C43" s="30" t="s">
        <v>1313</v>
      </c>
      <c r="D43" s="30" t="s">
        <v>640</v>
      </c>
      <c r="E43" s="30" t="n">
        <v>38</v>
      </c>
      <c r="F43" s="30" t="n">
        <v>8</v>
      </c>
      <c r="G43" s="30" t="n">
        <v>14</v>
      </c>
      <c r="H43" s="30"/>
    </row>
    <row r="44" customFormat="false" ht="16.5" hidden="false" customHeight="true" outlineLevel="0" collapsed="false">
      <c r="A44" s="30" t="s">
        <v>941</v>
      </c>
      <c r="B44" s="30" t="s">
        <v>934</v>
      </c>
      <c r="C44" s="30" t="s">
        <v>1313</v>
      </c>
      <c r="D44" s="30" t="s">
        <v>663</v>
      </c>
      <c r="E44" s="30" t="n">
        <v>37</v>
      </c>
      <c r="F44" s="30" t="n">
        <v>8</v>
      </c>
      <c r="G44" s="30" t="n">
        <v>14</v>
      </c>
      <c r="H44" s="30"/>
    </row>
    <row r="45" customFormat="false" ht="16.5" hidden="false" customHeight="true" outlineLevel="0" collapsed="false">
      <c r="A45" s="30" t="s">
        <v>941</v>
      </c>
      <c r="B45" s="30" t="s">
        <v>934</v>
      </c>
      <c r="C45" s="30" t="s">
        <v>1313</v>
      </c>
      <c r="D45" s="30" t="s">
        <v>641</v>
      </c>
      <c r="E45" s="30" t="n">
        <v>25</v>
      </c>
      <c r="F45" s="30" t="n">
        <v>8</v>
      </c>
      <c r="G45" s="30" t="n">
        <v>14</v>
      </c>
      <c r="H45" s="30"/>
    </row>
    <row r="46" customFormat="false" ht="16.5" hidden="false" customHeight="true" outlineLevel="0" collapsed="false">
      <c r="A46" s="30" t="s">
        <v>941</v>
      </c>
      <c r="B46" s="30" t="s">
        <v>934</v>
      </c>
      <c r="C46" s="30" t="s">
        <v>1314</v>
      </c>
      <c r="D46" s="30" t="s">
        <v>499</v>
      </c>
      <c r="E46" s="30" t="n">
        <v>100</v>
      </c>
      <c r="F46" s="30" t="n">
        <v>8</v>
      </c>
      <c r="G46" s="30" t="n">
        <v>14</v>
      </c>
      <c r="H46" s="30"/>
    </row>
    <row r="47" customFormat="false" ht="16.5" hidden="false" customHeight="true" outlineLevel="0" collapsed="false">
      <c r="A47" s="30" t="s">
        <v>943</v>
      </c>
      <c r="B47" s="30" t="s">
        <v>934</v>
      </c>
      <c r="C47" s="30" t="s">
        <v>1313</v>
      </c>
      <c r="D47" s="30" t="s">
        <v>640</v>
      </c>
      <c r="E47" s="30" t="n">
        <v>38</v>
      </c>
      <c r="F47" s="30" t="n">
        <v>8</v>
      </c>
      <c r="G47" s="30" t="n">
        <v>14</v>
      </c>
      <c r="H47" s="30"/>
    </row>
    <row r="48" customFormat="false" ht="16.5" hidden="false" customHeight="true" outlineLevel="0" collapsed="false">
      <c r="A48" s="30" t="s">
        <v>943</v>
      </c>
      <c r="B48" s="30" t="s">
        <v>934</v>
      </c>
      <c r="C48" s="30" t="s">
        <v>1313</v>
      </c>
      <c r="D48" s="30" t="s">
        <v>663</v>
      </c>
      <c r="E48" s="30" t="n">
        <v>37</v>
      </c>
      <c r="F48" s="30" t="n">
        <v>8</v>
      </c>
      <c r="G48" s="30" t="n">
        <v>14</v>
      </c>
      <c r="H48" s="30"/>
    </row>
    <row r="49" customFormat="false" ht="16.5" hidden="false" customHeight="true" outlineLevel="0" collapsed="false">
      <c r="A49" s="30" t="s">
        <v>943</v>
      </c>
      <c r="B49" s="30" t="s">
        <v>934</v>
      </c>
      <c r="C49" s="30" t="s">
        <v>1313</v>
      </c>
      <c r="D49" s="30" t="s">
        <v>641</v>
      </c>
      <c r="E49" s="30" t="n">
        <v>25</v>
      </c>
      <c r="F49" s="30" t="n">
        <v>8</v>
      </c>
      <c r="G49" s="30" t="n">
        <v>14</v>
      </c>
      <c r="H49" s="30"/>
    </row>
    <row r="50" customFormat="false" ht="16.5" hidden="false" customHeight="true" outlineLevel="0" collapsed="false">
      <c r="A50" s="30" t="s">
        <v>943</v>
      </c>
      <c r="B50" s="30" t="s">
        <v>934</v>
      </c>
      <c r="C50" s="30" t="s">
        <v>1314</v>
      </c>
      <c r="D50" s="30" t="s">
        <v>346</v>
      </c>
      <c r="E50" s="30" t="n">
        <v>50</v>
      </c>
      <c r="F50" s="30" t="n">
        <v>8</v>
      </c>
      <c r="G50" s="30" t="n">
        <v>14</v>
      </c>
      <c r="H50" s="30"/>
    </row>
    <row r="51" customFormat="false" ht="16.5" hidden="false" customHeight="true" outlineLevel="0" collapsed="false">
      <c r="A51" s="30" t="s">
        <v>943</v>
      </c>
      <c r="B51" s="30" t="s">
        <v>934</v>
      </c>
      <c r="C51" s="30" t="s">
        <v>1314</v>
      </c>
      <c r="D51" s="30" t="s">
        <v>499</v>
      </c>
      <c r="E51" s="30" t="n">
        <v>50</v>
      </c>
      <c r="F51" s="30" t="n">
        <v>8</v>
      </c>
      <c r="G51" s="30" t="n">
        <v>14</v>
      </c>
      <c r="H51" s="30"/>
    </row>
    <row r="52" customFormat="false" ht="16.5" hidden="false" customHeight="true" outlineLevel="0" collapsed="false">
      <c r="A52" s="30" t="s">
        <v>944</v>
      </c>
      <c r="B52" s="30" t="s">
        <v>934</v>
      </c>
      <c r="C52" s="30" t="s">
        <v>1314</v>
      </c>
      <c r="D52" s="30" t="s">
        <v>437</v>
      </c>
      <c r="E52" s="30" t="n">
        <v>20</v>
      </c>
      <c r="F52" s="30" t="n">
        <v>8</v>
      </c>
      <c r="G52" s="30" t="n">
        <v>14</v>
      </c>
      <c r="H52" s="30"/>
    </row>
    <row r="53" customFormat="false" ht="16.5" hidden="false" customHeight="true" outlineLevel="0" collapsed="false">
      <c r="A53" s="30" t="s">
        <v>944</v>
      </c>
      <c r="B53" s="30" t="s">
        <v>934</v>
      </c>
      <c r="C53" s="30" t="s">
        <v>1314</v>
      </c>
      <c r="D53" s="30" t="s">
        <v>367</v>
      </c>
      <c r="E53" s="30" t="n">
        <v>20</v>
      </c>
      <c r="F53" s="30" t="n">
        <v>8</v>
      </c>
      <c r="G53" s="30" t="n">
        <v>14</v>
      </c>
      <c r="H53" s="30"/>
    </row>
    <row r="54" customFormat="false" ht="16.5" hidden="false" customHeight="true" outlineLevel="0" collapsed="false">
      <c r="A54" s="30" t="s">
        <v>944</v>
      </c>
      <c r="B54" s="30" t="s">
        <v>934</v>
      </c>
      <c r="C54" s="30" t="s">
        <v>1314</v>
      </c>
      <c r="D54" s="30" t="s">
        <v>468</v>
      </c>
      <c r="E54" s="30" t="n">
        <v>20</v>
      </c>
      <c r="F54" s="30" t="n">
        <v>8</v>
      </c>
      <c r="G54" s="30" t="n">
        <v>14</v>
      </c>
      <c r="H54" s="30" t="s">
        <v>1317</v>
      </c>
    </row>
    <row r="55" customFormat="false" ht="16.5" hidden="false" customHeight="true" outlineLevel="0" collapsed="false">
      <c r="A55" s="30" t="s">
        <v>944</v>
      </c>
      <c r="B55" s="30" t="s">
        <v>934</v>
      </c>
      <c r="C55" s="30" t="s">
        <v>1314</v>
      </c>
      <c r="D55" s="30" t="s">
        <v>355</v>
      </c>
      <c r="E55" s="30" t="n">
        <v>20</v>
      </c>
      <c r="F55" s="30" t="n">
        <v>8</v>
      </c>
      <c r="G55" s="30" t="n">
        <v>14</v>
      </c>
      <c r="H55" s="30"/>
    </row>
    <row r="56" customFormat="false" ht="16.5" hidden="false" customHeight="true" outlineLevel="0" collapsed="false">
      <c r="A56" s="30" t="s">
        <v>944</v>
      </c>
      <c r="B56" s="30" t="s">
        <v>934</v>
      </c>
      <c r="C56" s="30" t="s">
        <v>1314</v>
      </c>
      <c r="D56" s="30" t="s">
        <v>477</v>
      </c>
      <c r="E56" s="30" t="n">
        <v>20</v>
      </c>
      <c r="F56" s="30" t="n">
        <v>8</v>
      </c>
      <c r="G56" s="30" t="n">
        <v>14</v>
      </c>
      <c r="H56" s="30" t="s">
        <v>1318</v>
      </c>
    </row>
    <row r="57" customFormat="false" ht="16.5" hidden="false" customHeight="true" outlineLevel="0" collapsed="false">
      <c r="A57" s="30" t="s">
        <v>945</v>
      </c>
      <c r="B57" s="30" t="s">
        <v>934</v>
      </c>
      <c r="C57" s="30" t="s">
        <v>1314</v>
      </c>
      <c r="D57" s="30" t="s">
        <v>377</v>
      </c>
      <c r="E57" s="30" t="n">
        <v>60</v>
      </c>
      <c r="F57" s="30" t="n">
        <v>8</v>
      </c>
      <c r="G57" s="30" t="n">
        <v>14</v>
      </c>
      <c r="H57" s="30"/>
    </row>
    <row r="58" customFormat="false" ht="16.5" hidden="false" customHeight="true" outlineLevel="0" collapsed="false">
      <c r="A58" s="30" t="s">
        <v>945</v>
      </c>
      <c r="B58" s="30" t="s">
        <v>934</v>
      </c>
      <c r="C58" s="30" t="s">
        <v>1314</v>
      </c>
      <c r="D58" s="30" t="s">
        <v>370</v>
      </c>
      <c r="E58" s="30" t="n">
        <v>40</v>
      </c>
      <c r="F58" s="30" t="n">
        <v>8</v>
      </c>
      <c r="G58" s="30" t="n">
        <v>14</v>
      </c>
      <c r="H58" s="30"/>
    </row>
    <row r="59" customFormat="false" ht="16.5" hidden="false" customHeight="true" outlineLevel="0" collapsed="false">
      <c r="A59" s="30" t="s">
        <v>948</v>
      </c>
      <c r="B59" s="30" t="s">
        <v>934</v>
      </c>
      <c r="C59" s="30" t="s">
        <v>1313</v>
      </c>
      <c r="D59" s="30" t="s">
        <v>663</v>
      </c>
      <c r="E59" s="30" t="n">
        <v>38</v>
      </c>
      <c r="F59" s="30" t="n">
        <v>8</v>
      </c>
      <c r="G59" s="30" t="n">
        <v>14</v>
      </c>
      <c r="H59" s="30"/>
    </row>
    <row r="60" customFormat="false" ht="16.5" hidden="false" customHeight="true" outlineLevel="0" collapsed="false">
      <c r="A60" s="30" t="s">
        <v>948</v>
      </c>
      <c r="B60" s="30" t="s">
        <v>934</v>
      </c>
      <c r="C60" s="30" t="s">
        <v>1313</v>
      </c>
      <c r="D60" s="30" t="s">
        <v>491</v>
      </c>
      <c r="E60" s="30" t="n">
        <v>37</v>
      </c>
      <c r="F60" s="30" t="n">
        <v>8</v>
      </c>
      <c r="G60" s="30" t="n">
        <v>14</v>
      </c>
      <c r="H60" s="30"/>
    </row>
    <row r="61" customFormat="false" ht="16.5" hidden="false" customHeight="true" outlineLevel="0" collapsed="false">
      <c r="A61" s="30" t="s">
        <v>948</v>
      </c>
      <c r="B61" s="30" t="s">
        <v>934</v>
      </c>
      <c r="C61" s="30" t="s">
        <v>1313</v>
      </c>
      <c r="D61" s="30" t="s">
        <v>493</v>
      </c>
      <c r="E61" s="30" t="n">
        <v>25</v>
      </c>
      <c r="F61" s="30" t="n">
        <v>8</v>
      </c>
      <c r="G61" s="30" t="n">
        <v>14</v>
      </c>
      <c r="H61" s="30"/>
    </row>
    <row r="62" customFormat="false" ht="16.5" hidden="false" customHeight="true" outlineLevel="0" collapsed="false">
      <c r="A62" s="30" t="s">
        <v>948</v>
      </c>
      <c r="B62" s="30" t="s">
        <v>934</v>
      </c>
      <c r="C62" s="30" t="s">
        <v>1314</v>
      </c>
      <c r="D62" s="30" t="s">
        <v>377</v>
      </c>
      <c r="E62" s="30" t="n">
        <v>60</v>
      </c>
      <c r="F62" s="30" t="n">
        <v>8</v>
      </c>
      <c r="G62" s="30" t="n">
        <v>14</v>
      </c>
      <c r="H62" s="30"/>
    </row>
    <row r="63" customFormat="false" ht="16.5" hidden="false" customHeight="true" outlineLevel="0" collapsed="false">
      <c r="A63" s="30" t="s">
        <v>948</v>
      </c>
      <c r="B63" s="30" t="s">
        <v>934</v>
      </c>
      <c r="C63" s="30" t="s">
        <v>1314</v>
      </c>
      <c r="D63" s="30" t="s">
        <v>370</v>
      </c>
      <c r="E63" s="30" t="n">
        <v>40</v>
      </c>
      <c r="F63" s="30" t="n">
        <v>8</v>
      </c>
      <c r="G63" s="30" t="n">
        <v>14</v>
      </c>
      <c r="H63" s="30"/>
    </row>
    <row r="64" customFormat="false" ht="16.5" hidden="false" customHeight="true" outlineLevel="0" collapsed="false">
      <c r="A64" s="30" t="s">
        <v>533</v>
      </c>
      <c r="B64" s="30" t="s">
        <v>934</v>
      </c>
      <c r="C64" s="30" t="s">
        <v>1314</v>
      </c>
      <c r="D64" s="30" t="s">
        <v>525</v>
      </c>
      <c r="E64" s="30" t="n">
        <v>23</v>
      </c>
      <c r="F64" s="30" t="n">
        <v>8</v>
      </c>
      <c r="G64" s="30" t="n">
        <v>14</v>
      </c>
      <c r="H64" s="30"/>
    </row>
    <row r="65" customFormat="false" ht="16.5" hidden="false" customHeight="true" outlineLevel="0" collapsed="false">
      <c r="A65" s="30" t="s">
        <v>533</v>
      </c>
      <c r="B65" s="30" t="s">
        <v>934</v>
      </c>
      <c r="C65" s="30" t="s">
        <v>1314</v>
      </c>
      <c r="D65" s="30" t="s">
        <v>510</v>
      </c>
      <c r="E65" s="30" t="n">
        <v>23</v>
      </c>
      <c r="F65" s="30" t="n">
        <v>8</v>
      </c>
      <c r="G65" s="30" t="n">
        <v>14</v>
      </c>
      <c r="H65" s="30"/>
    </row>
    <row r="66" customFormat="false" ht="16.5" hidden="false" customHeight="true" outlineLevel="0" collapsed="false">
      <c r="A66" s="30" t="s">
        <v>533</v>
      </c>
      <c r="B66" s="30" t="s">
        <v>934</v>
      </c>
      <c r="C66" s="30" t="s">
        <v>1314</v>
      </c>
      <c r="D66" s="30" t="s">
        <v>441</v>
      </c>
      <c r="E66" s="30" t="n">
        <v>23</v>
      </c>
      <c r="F66" s="30" t="n">
        <v>8</v>
      </c>
      <c r="G66" s="30" t="n">
        <v>14</v>
      </c>
      <c r="H66" s="30"/>
    </row>
    <row r="67" customFormat="false" ht="16.5" hidden="false" customHeight="true" outlineLevel="0" collapsed="false">
      <c r="A67" s="30" t="s">
        <v>533</v>
      </c>
      <c r="B67" s="30" t="s">
        <v>934</v>
      </c>
      <c r="C67" s="30" t="s">
        <v>1314</v>
      </c>
      <c r="D67" s="30" t="s">
        <v>593</v>
      </c>
      <c r="E67" s="30" t="n">
        <v>16</v>
      </c>
      <c r="F67" s="30" t="n">
        <v>8</v>
      </c>
      <c r="G67" s="30" t="n">
        <v>14</v>
      </c>
      <c r="H67" s="30"/>
    </row>
    <row r="68" customFormat="false" ht="16.5" hidden="false" customHeight="true" outlineLevel="0" collapsed="false">
      <c r="A68" s="30" t="s">
        <v>533</v>
      </c>
      <c r="B68" s="30" t="s">
        <v>934</v>
      </c>
      <c r="C68" s="30" t="s">
        <v>1314</v>
      </c>
      <c r="D68" s="30" t="s">
        <v>530</v>
      </c>
      <c r="E68" s="30" t="n">
        <v>15</v>
      </c>
      <c r="F68" s="30" t="n">
        <v>8</v>
      </c>
      <c r="G68" s="30" t="n">
        <v>14</v>
      </c>
      <c r="H68" s="30"/>
    </row>
    <row r="69" customFormat="false" ht="16.5" hidden="false" customHeight="true" outlineLevel="0" collapsed="false">
      <c r="A69" s="30" t="s">
        <v>381</v>
      </c>
      <c r="B69" s="30" t="s">
        <v>934</v>
      </c>
      <c r="C69" s="30" t="s">
        <v>1315</v>
      </c>
      <c r="D69" s="30" t="s">
        <v>717</v>
      </c>
      <c r="E69" s="30"/>
      <c r="F69" s="30" t="n">
        <v>50</v>
      </c>
      <c r="G69" s="30" t="n">
        <v>50</v>
      </c>
      <c r="H69" s="30" t="s">
        <v>1316</v>
      </c>
    </row>
    <row r="70" customFormat="false" ht="16.5" hidden="false" customHeight="true" outlineLevel="0" collapsed="false">
      <c r="A70" s="30" t="s">
        <v>381</v>
      </c>
      <c r="B70" s="30" t="s">
        <v>934</v>
      </c>
      <c r="C70" s="30" t="s">
        <v>1314</v>
      </c>
      <c r="D70" s="30" t="s">
        <v>593</v>
      </c>
      <c r="E70" s="30" t="n">
        <v>15</v>
      </c>
      <c r="F70" s="30" t="n">
        <v>36</v>
      </c>
      <c r="G70" s="30" t="n">
        <v>44</v>
      </c>
      <c r="H70" s="30"/>
    </row>
    <row r="71" customFormat="false" ht="16.5" hidden="false" customHeight="true" outlineLevel="0" collapsed="false">
      <c r="A71" s="30" t="s">
        <v>381</v>
      </c>
      <c r="B71" s="30" t="s">
        <v>934</v>
      </c>
      <c r="C71" s="30" t="s">
        <v>1314</v>
      </c>
      <c r="D71" s="30" t="s">
        <v>443</v>
      </c>
      <c r="E71" s="30" t="n">
        <v>15</v>
      </c>
      <c r="F71" s="30" t="n">
        <v>36</v>
      </c>
      <c r="G71" s="30" t="n">
        <v>44</v>
      </c>
      <c r="H71" s="30"/>
    </row>
    <row r="72" customFormat="false" ht="16.5" hidden="false" customHeight="true" outlineLevel="0" collapsed="false">
      <c r="A72" s="30" t="s">
        <v>381</v>
      </c>
      <c r="B72" s="30" t="s">
        <v>934</v>
      </c>
      <c r="C72" s="30" t="s">
        <v>1314</v>
      </c>
      <c r="D72" s="30" t="s">
        <v>503</v>
      </c>
      <c r="E72" s="30" t="n">
        <v>14</v>
      </c>
      <c r="F72" s="30" t="n">
        <v>36</v>
      </c>
      <c r="G72" s="30" t="n">
        <v>44</v>
      </c>
      <c r="H72" s="30"/>
    </row>
    <row r="73" customFormat="false" ht="16.5" hidden="false" customHeight="true" outlineLevel="0" collapsed="false">
      <c r="A73" s="30" t="s">
        <v>381</v>
      </c>
      <c r="B73" s="30" t="s">
        <v>934</v>
      </c>
      <c r="C73" s="30" t="s">
        <v>1314</v>
      </c>
      <c r="D73" s="30" t="s">
        <v>379</v>
      </c>
      <c r="E73" s="30" t="n">
        <v>14</v>
      </c>
      <c r="F73" s="30" t="n">
        <v>36</v>
      </c>
      <c r="G73" s="30" t="n">
        <v>44</v>
      </c>
      <c r="H73" s="30"/>
    </row>
    <row r="74" customFormat="false" ht="16.5" hidden="false" customHeight="true" outlineLevel="0" collapsed="false">
      <c r="A74" s="30" t="s">
        <v>381</v>
      </c>
      <c r="B74" s="30" t="s">
        <v>934</v>
      </c>
      <c r="C74" s="30" t="s">
        <v>1314</v>
      </c>
      <c r="D74" s="30" t="s">
        <v>461</v>
      </c>
      <c r="E74" s="30" t="n">
        <v>14</v>
      </c>
      <c r="F74" s="30" t="n">
        <v>36</v>
      </c>
      <c r="G74" s="30" t="n">
        <v>44</v>
      </c>
      <c r="H74" s="30"/>
    </row>
    <row r="75" customFormat="false" ht="16.5" hidden="false" customHeight="true" outlineLevel="0" collapsed="false">
      <c r="A75" s="30" t="s">
        <v>381</v>
      </c>
      <c r="B75" s="30" t="s">
        <v>934</v>
      </c>
      <c r="C75" s="30" t="s">
        <v>1314</v>
      </c>
      <c r="D75" s="30" t="s">
        <v>473</v>
      </c>
      <c r="E75" s="30" t="n">
        <v>7</v>
      </c>
      <c r="F75" s="30" t="n">
        <v>36</v>
      </c>
      <c r="G75" s="30" t="n">
        <v>44</v>
      </c>
      <c r="H75" s="30"/>
    </row>
    <row r="76" customFormat="false" ht="16.5" hidden="false" customHeight="true" outlineLevel="0" collapsed="false">
      <c r="A76" s="30" t="s">
        <v>381</v>
      </c>
      <c r="B76" s="30" t="s">
        <v>934</v>
      </c>
      <c r="C76" s="30" t="s">
        <v>1314</v>
      </c>
      <c r="D76" s="30" t="s">
        <v>544</v>
      </c>
      <c r="E76" s="30" t="n">
        <v>7</v>
      </c>
      <c r="F76" s="30" t="n">
        <v>36</v>
      </c>
      <c r="G76" s="30" t="n">
        <v>44</v>
      </c>
      <c r="H76" s="30"/>
    </row>
    <row r="77" customFormat="false" ht="16.5" hidden="false" customHeight="true" outlineLevel="0" collapsed="false">
      <c r="A77" s="30" t="s">
        <v>381</v>
      </c>
      <c r="B77" s="30" t="s">
        <v>934</v>
      </c>
      <c r="C77" s="30" t="s">
        <v>1314</v>
      </c>
      <c r="D77" s="30" t="s">
        <v>664</v>
      </c>
      <c r="E77" s="30" t="n">
        <v>7</v>
      </c>
      <c r="F77" s="30" t="n">
        <v>36</v>
      </c>
      <c r="G77" s="30" t="n">
        <v>44</v>
      </c>
      <c r="H77" s="30"/>
    </row>
    <row r="78" customFormat="false" ht="16.5" hidden="false" customHeight="true" outlineLevel="0" collapsed="false">
      <c r="A78" s="30" t="s">
        <v>381</v>
      </c>
      <c r="B78" s="30" t="s">
        <v>934</v>
      </c>
      <c r="C78" s="30" t="s">
        <v>1314</v>
      </c>
      <c r="D78" s="30" t="s">
        <v>623</v>
      </c>
      <c r="E78" s="30" t="n">
        <v>7</v>
      </c>
      <c r="F78" s="30" t="n">
        <v>36</v>
      </c>
      <c r="G78" s="30" t="n">
        <v>44</v>
      </c>
      <c r="H78" s="30"/>
    </row>
    <row r="79" customFormat="false" ht="16.5" hidden="false" customHeight="true" outlineLevel="0" collapsed="false">
      <c r="A79" s="30" t="s">
        <v>550</v>
      </c>
      <c r="B79" s="30" t="s">
        <v>934</v>
      </c>
      <c r="C79" s="30" t="s">
        <v>1315</v>
      </c>
      <c r="D79" s="30" t="s">
        <v>704</v>
      </c>
      <c r="E79" s="30"/>
      <c r="F79" s="30" t="n">
        <v>40</v>
      </c>
      <c r="G79" s="30" t="n">
        <v>40</v>
      </c>
      <c r="H79" s="30" t="s">
        <v>1316</v>
      </c>
    </row>
    <row r="80" customFormat="false" ht="16.5" hidden="false" customHeight="true" outlineLevel="0" collapsed="false">
      <c r="A80" s="30" t="s">
        <v>550</v>
      </c>
      <c r="B80" s="30" t="s">
        <v>934</v>
      </c>
      <c r="C80" s="30" t="s">
        <v>1314</v>
      </c>
      <c r="D80" s="30" t="s">
        <v>393</v>
      </c>
      <c r="E80" s="30" t="n">
        <v>22</v>
      </c>
      <c r="F80" s="30" t="n">
        <v>8</v>
      </c>
      <c r="G80" s="30" t="n">
        <v>14</v>
      </c>
      <c r="H80" s="30"/>
    </row>
    <row r="81" customFormat="false" ht="16.5" hidden="false" customHeight="true" outlineLevel="0" collapsed="false">
      <c r="A81" s="30" t="s">
        <v>550</v>
      </c>
      <c r="B81" s="30" t="s">
        <v>934</v>
      </c>
      <c r="C81" s="30" t="s">
        <v>1314</v>
      </c>
      <c r="D81" s="30" t="s">
        <v>547</v>
      </c>
      <c r="E81" s="30" t="n">
        <v>22</v>
      </c>
      <c r="F81" s="30" t="n">
        <v>8</v>
      </c>
      <c r="G81" s="30" t="n">
        <v>14</v>
      </c>
      <c r="H81" s="30"/>
    </row>
    <row r="82" customFormat="false" ht="16.5" hidden="false" customHeight="true" outlineLevel="0" collapsed="false">
      <c r="A82" s="30" t="s">
        <v>550</v>
      </c>
      <c r="B82" s="30" t="s">
        <v>934</v>
      </c>
      <c r="C82" s="30" t="s">
        <v>1314</v>
      </c>
      <c r="D82" s="30" t="s">
        <v>597</v>
      </c>
      <c r="E82" s="30" t="n">
        <v>21</v>
      </c>
      <c r="F82" s="30" t="n">
        <v>8</v>
      </c>
      <c r="G82" s="30" t="n">
        <v>14</v>
      </c>
      <c r="H82" s="30"/>
    </row>
    <row r="83" customFormat="false" ht="16.5" hidden="false" customHeight="true" outlineLevel="0" collapsed="false">
      <c r="A83" s="30" t="s">
        <v>550</v>
      </c>
      <c r="B83" s="30" t="s">
        <v>934</v>
      </c>
      <c r="C83" s="30" t="s">
        <v>1314</v>
      </c>
      <c r="D83" s="30" t="s">
        <v>551</v>
      </c>
      <c r="E83" s="30" t="n">
        <v>14</v>
      </c>
      <c r="F83" s="30" t="n">
        <v>8</v>
      </c>
      <c r="G83" s="30" t="n">
        <v>14</v>
      </c>
      <c r="H83" s="30"/>
    </row>
    <row r="84" customFormat="false" ht="16.5" hidden="false" customHeight="true" outlineLevel="0" collapsed="false">
      <c r="A84" s="30" t="s">
        <v>550</v>
      </c>
      <c r="B84" s="30" t="s">
        <v>934</v>
      </c>
      <c r="C84" s="30" t="s">
        <v>1314</v>
      </c>
      <c r="D84" s="30" t="s">
        <v>598</v>
      </c>
      <c r="E84" s="30" t="n">
        <v>7</v>
      </c>
      <c r="F84" s="30" t="n">
        <v>8</v>
      </c>
      <c r="G84" s="30" t="n">
        <v>14</v>
      </c>
      <c r="H84" s="30"/>
    </row>
    <row r="85" customFormat="false" ht="16.5" hidden="false" customHeight="true" outlineLevel="0" collapsed="false">
      <c r="A85" s="30" t="s">
        <v>550</v>
      </c>
      <c r="B85" s="30" t="s">
        <v>934</v>
      </c>
      <c r="C85" s="30" t="s">
        <v>1314</v>
      </c>
      <c r="D85" s="30" t="s">
        <v>398</v>
      </c>
      <c r="E85" s="30" t="n">
        <v>7</v>
      </c>
      <c r="F85" s="30" t="n">
        <v>8</v>
      </c>
      <c r="G85" s="30" t="n">
        <v>14</v>
      </c>
      <c r="H85" s="30"/>
    </row>
    <row r="86" customFormat="false" ht="16.5" hidden="false" customHeight="true" outlineLevel="0" collapsed="false">
      <c r="A86" s="30" t="s">
        <v>550</v>
      </c>
      <c r="B86" s="30" t="s">
        <v>934</v>
      </c>
      <c r="C86" s="30" t="s">
        <v>1314</v>
      </c>
      <c r="D86" s="30" t="s">
        <v>652</v>
      </c>
      <c r="E86" s="30" t="n">
        <v>7</v>
      </c>
      <c r="F86" s="30" t="n">
        <v>8</v>
      </c>
      <c r="G86" s="30" t="n">
        <v>14</v>
      </c>
      <c r="H86" s="30" t="s">
        <v>1318</v>
      </c>
    </row>
    <row r="87" customFormat="false" ht="16.5" hidden="false" customHeight="true" outlineLevel="0" collapsed="false">
      <c r="A87" s="30" t="s">
        <v>586</v>
      </c>
      <c r="B87" s="30" t="s">
        <v>934</v>
      </c>
      <c r="C87" s="30" t="s">
        <v>1314</v>
      </c>
      <c r="D87" s="30" t="s">
        <v>601</v>
      </c>
      <c r="E87" s="30" t="n">
        <v>23</v>
      </c>
      <c r="F87" s="30" t="n">
        <v>8</v>
      </c>
      <c r="G87" s="30" t="n">
        <v>14</v>
      </c>
      <c r="H87" s="30"/>
    </row>
    <row r="88" customFormat="false" ht="16.5" hidden="false" customHeight="true" outlineLevel="0" collapsed="false">
      <c r="A88" s="30" t="s">
        <v>586</v>
      </c>
      <c r="B88" s="30" t="s">
        <v>934</v>
      </c>
      <c r="C88" s="30" t="s">
        <v>1314</v>
      </c>
      <c r="D88" s="30" t="s">
        <v>582</v>
      </c>
      <c r="E88" s="30" t="n">
        <v>23</v>
      </c>
      <c r="F88" s="30" t="n">
        <v>8</v>
      </c>
      <c r="G88" s="30" t="n">
        <v>14</v>
      </c>
      <c r="H88" s="30"/>
    </row>
    <row r="89" customFormat="false" ht="16.5" hidden="false" customHeight="true" outlineLevel="0" collapsed="false">
      <c r="A89" s="30" t="s">
        <v>586</v>
      </c>
      <c r="B89" s="30" t="s">
        <v>934</v>
      </c>
      <c r="C89" s="30" t="s">
        <v>1314</v>
      </c>
      <c r="D89" s="30" t="s">
        <v>798</v>
      </c>
      <c r="E89" s="30" t="n">
        <v>23</v>
      </c>
      <c r="F89" s="30" t="n">
        <v>8</v>
      </c>
      <c r="G89" s="30" t="n">
        <v>14</v>
      </c>
      <c r="H89" s="30"/>
    </row>
    <row r="90" customFormat="false" ht="16.5" hidden="false" customHeight="true" outlineLevel="0" collapsed="false">
      <c r="A90" s="30" t="s">
        <v>586</v>
      </c>
      <c r="B90" s="30" t="s">
        <v>934</v>
      </c>
      <c r="C90" s="30" t="s">
        <v>1314</v>
      </c>
      <c r="D90" s="30" t="s">
        <v>604</v>
      </c>
      <c r="E90" s="30" t="n">
        <v>16</v>
      </c>
      <c r="F90" s="30" t="n">
        <v>8</v>
      </c>
      <c r="G90" s="30" t="n">
        <v>14</v>
      </c>
      <c r="H90" s="30"/>
    </row>
    <row r="91" customFormat="false" ht="16.5" hidden="false" customHeight="true" outlineLevel="0" collapsed="false">
      <c r="A91" s="30" t="s">
        <v>586</v>
      </c>
      <c r="B91" s="30" t="s">
        <v>934</v>
      </c>
      <c r="C91" s="30" t="s">
        <v>1314</v>
      </c>
      <c r="D91" s="30" t="s">
        <v>587</v>
      </c>
      <c r="E91" s="30" t="n">
        <v>15</v>
      </c>
      <c r="F91" s="30" t="n">
        <v>8</v>
      </c>
      <c r="G91" s="30" t="n">
        <v>14</v>
      </c>
      <c r="H91" s="30"/>
    </row>
    <row r="92" customFormat="false" ht="16.5" hidden="false" customHeight="true" outlineLevel="0" collapsed="false">
      <c r="A92" s="30" t="s">
        <v>954</v>
      </c>
      <c r="B92" s="30" t="s">
        <v>952</v>
      </c>
      <c r="C92" s="30" t="s">
        <v>1314</v>
      </c>
      <c r="D92" s="30" t="s">
        <v>464</v>
      </c>
      <c r="E92" s="30" t="n">
        <v>60</v>
      </c>
      <c r="F92" s="30" t="n">
        <v>13</v>
      </c>
      <c r="G92" s="30" t="n">
        <v>21</v>
      </c>
      <c r="H92" s="30"/>
    </row>
    <row r="93" customFormat="false" ht="16.5" hidden="false" customHeight="true" outlineLevel="0" collapsed="false">
      <c r="A93" s="30" t="s">
        <v>954</v>
      </c>
      <c r="B93" s="30" t="s">
        <v>952</v>
      </c>
      <c r="C93" s="30" t="s">
        <v>1314</v>
      </c>
      <c r="D93" s="30" t="s">
        <v>466</v>
      </c>
      <c r="E93" s="30" t="n">
        <v>40</v>
      </c>
      <c r="F93" s="30" t="n">
        <v>13</v>
      </c>
      <c r="G93" s="30" t="n">
        <v>21</v>
      </c>
      <c r="H93" s="30"/>
    </row>
    <row r="94" customFormat="false" ht="16.5" hidden="false" customHeight="true" outlineLevel="0" collapsed="false">
      <c r="A94" s="30" t="s">
        <v>956</v>
      </c>
      <c r="B94" s="30" t="s">
        <v>952</v>
      </c>
      <c r="C94" s="30" t="s">
        <v>1313</v>
      </c>
      <c r="D94" s="30" t="s">
        <v>640</v>
      </c>
      <c r="E94" s="30" t="n">
        <v>22</v>
      </c>
      <c r="F94" s="30" t="n">
        <v>13</v>
      </c>
      <c r="G94" s="30" t="n">
        <v>21</v>
      </c>
      <c r="H94" s="30"/>
    </row>
    <row r="95" customFormat="false" ht="16.5" hidden="false" customHeight="true" outlineLevel="0" collapsed="false">
      <c r="A95" s="30" t="s">
        <v>956</v>
      </c>
      <c r="B95" s="30" t="s">
        <v>952</v>
      </c>
      <c r="C95" s="30" t="s">
        <v>1313</v>
      </c>
      <c r="D95" s="30" t="s">
        <v>578</v>
      </c>
      <c r="E95" s="30" t="n">
        <v>22</v>
      </c>
      <c r="F95" s="30" t="n">
        <v>13</v>
      </c>
      <c r="G95" s="30" t="n">
        <v>21</v>
      </c>
      <c r="H95" s="30"/>
    </row>
    <row r="96" customFormat="false" ht="16.5" hidden="false" customHeight="true" outlineLevel="0" collapsed="false">
      <c r="A96" s="30" t="s">
        <v>956</v>
      </c>
      <c r="B96" s="30" t="s">
        <v>952</v>
      </c>
      <c r="C96" s="30" t="s">
        <v>1313</v>
      </c>
      <c r="D96" s="30" t="s">
        <v>663</v>
      </c>
      <c r="E96" s="30" t="n">
        <v>21</v>
      </c>
      <c r="F96" s="30" t="n">
        <v>13</v>
      </c>
      <c r="G96" s="30" t="n">
        <v>21</v>
      </c>
      <c r="H96" s="30"/>
    </row>
    <row r="97" customFormat="false" ht="16.5" hidden="false" customHeight="true" outlineLevel="0" collapsed="false">
      <c r="A97" s="30" t="s">
        <v>956</v>
      </c>
      <c r="B97" s="30" t="s">
        <v>952</v>
      </c>
      <c r="C97" s="30" t="s">
        <v>1313</v>
      </c>
      <c r="D97" s="30" t="s">
        <v>643</v>
      </c>
      <c r="E97" s="30" t="n">
        <v>21</v>
      </c>
      <c r="F97" s="30" t="n">
        <v>13</v>
      </c>
      <c r="G97" s="30" t="n">
        <v>21</v>
      </c>
      <c r="H97" s="30"/>
    </row>
    <row r="98" customFormat="false" ht="16.5" hidden="false" customHeight="true" outlineLevel="0" collapsed="false">
      <c r="A98" s="30" t="s">
        <v>956</v>
      </c>
      <c r="B98" s="30" t="s">
        <v>952</v>
      </c>
      <c r="C98" s="30" t="s">
        <v>1313</v>
      </c>
      <c r="D98" s="30" t="s">
        <v>641</v>
      </c>
      <c r="E98" s="30" t="n">
        <v>14</v>
      </c>
      <c r="F98" s="30" t="n">
        <v>13</v>
      </c>
      <c r="G98" s="30" t="n">
        <v>21</v>
      </c>
      <c r="H98" s="30"/>
    </row>
    <row r="99" customFormat="false" ht="16.5" hidden="false" customHeight="true" outlineLevel="0" collapsed="false">
      <c r="A99" s="30" t="s">
        <v>958</v>
      </c>
      <c r="B99" s="30" t="s">
        <v>952</v>
      </c>
      <c r="C99" s="30" t="s">
        <v>1313</v>
      </c>
      <c r="D99" s="30" t="s">
        <v>640</v>
      </c>
      <c r="E99" s="30" t="n">
        <v>38</v>
      </c>
      <c r="F99" s="30" t="n">
        <v>13</v>
      </c>
      <c r="G99" s="30" t="n">
        <v>21</v>
      </c>
      <c r="H99" s="30"/>
    </row>
    <row r="100" customFormat="false" ht="16.5" hidden="false" customHeight="true" outlineLevel="0" collapsed="false">
      <c r="A100" s="30" t="s">
        <v>958</v>
      </c>
      <c r="B100" s="30" t="s">
        <v>952</v>
      </c>
      <c r="C100" s="30" t="s">
        <v>1313</v>
      </c>
      <c r="D100" s="30" t="s">
        <v>663</v>
      </c>
      <c r="E100" s="30" t="n">
        <v>37</v>
      </c>
      <c r="F100" s="30" t="n">
        <v>13</v>
      </c>
      <c r="G100" s="30" t="n">
        <v>21</v>
      </c>
      <c r="H100" s="30"/>
    </row>
    <row r="101" customFormat="false" ht="16.5" hidden="false" customHeight="true" outlineLevel="0" collapsed="false">
      <c r="A101" s="30" t="s">
        <v>958</v>
      </c>
      <c r="B101" s="30" t="s">
        <v>952</v>
      </c>
      <c r="C101" s="30" t="s">
        <v>1313</v>
      </c>
      <c r="D101" s="30" t="s">
        <v>641</v>
      </c>
      <c r="E101" s="30" t="n">
        <v>25</v>
      </c>
      <c r="F101" s="30" t="n">
        <v>13</v>
      </c>
      <c r="G101" s="30" t="n">
        <v>21</v>
      </c>
      <c r="H101" s="30"/>
    </row>
    <row r="102" customFormat="false" ht="16.5" hidden="false" customHeight="true" outlineLevel="0" collapsed="false">
      <c r="A102" s="30" t="s">
        <v>958</v>
      </c>
      <c r="B102" s="30" t="s">
        <v>952</v>
      </c>
      <c r="C102" s="30" t="s">
        <v>1319</v>
      </c>
      <c r="D102" s="30" t="s">
        <v>471</v>
      </c>
      <c r="E102" s="30" t="n">
        <v>100</v>
      </c>
      <c r="F102" s="30" t="n">
        <v>13</v>
      </c>
      <c r="G102" s="30" t="n">
        <v>21</v>
      </c>
      <c r="H102" s="30"/>
    </row>
    <row r="103" customFormat="false" ht="16.5" hidden="false" customHeight="true" outlineLevel="0" collapsed="false">
      <c r="A103" s="30" t="s">
        <v>958</v>
      </c>
      <c r="B103" s="30" t="s">
        <v>952</v>
      </c>
      <c r="C103" s="30" t="s">
        <v>1314</v>
      </c>
      <c r="D103" s="30" t="s">
        <v>367</v>
      </c>
      <c r="E103" s="30" t="n">
        <v>20</v>
      </c>
      <c r="F103" s="30" t="n">
        <v>13</v>
      </c>
      <c r="G103" s="30" t="n">
        <v>21</v>
      </c>
      <c r="H103" s="30"/>
    </row>
    <row r="104" customFormat="false" ht="16.5" hidden="false" customHeight="true" outlineLevel="0" collapsed="false">
      <c r="A104" s="30" t="s">
        <v>958</v>
      </c>
      <c r="B104" s="30" t="s">
        <v>952</v>
      </c>
      <c r="C104" s="30" t="s">
        <v>1314</v>
      </c>
      <c r="D104" s="30" t="s">
        <v>468</v>
      </c>
      <c r="E104" s="30" t="n">
        <v>20</v>
      </c>
      <c r="F104" s="30" t="n">
        <v>13</v>
      </c>
      <c r="G104" s="30" t="n">
        <v>21</v>
      </c>
      <c r="H104" s="30" t="s">
        <v>1317</v>
      </c>
    </row>
    <row r="105" customFormat="false" ht="16.5" hidden="false" customHeight="true" outlineLevel="0" collapsed="false">
      <c r="A105" s="30" t="s">
        <v>958</v>
      </c>
      <c r="B105" s="30" t="s">
        <v>952</v>
      </c>
      <c r="C105" s="30" t="s">
        <v>1314</v>
      </c>
      <c r="D105" s="30" t="s">
        <v>437</v>
      </c>
      <c r="E105" s="30" t="n">
        <v>20</v>
      </c>
      <c r="F105" s="30" t="n">
        <v>13</v>
      </c>
      <c r="G105" s="30" t="n">
        <v>21</v>
      </c>
      <c r="H105" s="30"/>
    </row>
    <row r="106" customFormat="false" ht="16.5" hidden="false" customHeight="true" outlineLevel="0" collapsed="false">
      <c r="A106" s="30" t="s">
        <v>958</v>
      </c>
      <c r="B106" s="30" t="s">
        <v>952</v>
      </c>
      <c r="C106" s="30" t="s">
        <v>1314</v>
      </c>
      <c r="D106" s="30" t="s">
        <v>355</v>
      </c>
      <c r="E106" s="30" t="n">
        <v>20</v>
      </c>
      <c r="F106" s="30" t="n">
        <v>13</v>
      </c>
      <c r="G106" s="30" t="n">
        <v>21</v>
      </c>
      <c r="H106" s="30"/>
    </row>
    <row r="107" customFormat="false" ht="16.5" hidden="false" customHeight="true" outlineLevel="0" collapsed="false">
      <c r="A107" s="30" t="s">
        <v>958</v>
      </c>
      <c r="B107" s="30" t="s">
        <v>952</v>
      </c>
      <c r="C107" s="30" t="s">
        <v>1314</v>
      </c>
      <c r="D107" s="30" t="s">
        <v>477</v>
      </c>
      <c r="E107" s="30" t="n">
        <v>20</v>
      </c>
      <c r="F107" s="30" t="n">
        <v>13</v>
      </c>
      <c r="G107" s="30" t="n">
        <v>21</v>
      </c>
      <c r="H107" s="30" t="s">
        <v>1318</v>
      </c>
    </row>
    <row r="108" customFormat="false" ht="16.5" hidden="false" customHeight="true" outlineLevel="0" collapsed="false">
      <c r="A108" s="30" t="s">
        <v>962</v>
      </c>
      <c r="B108" s="30" t="s">
        <v>952</v>
      </c>
      <c r="C108" s="30" t="s">
        <v>1320</v>
      </c>
      <c r="D108" s="30" t="s">
        <v>674</v>
      </c>
      <c r="E108" s="30"/>
      <c r="F108" s="30" t="n">
        <v>12</v>
      </c>
      <c r="G108" s="30" t="n">
        <v>12</v>
      </c>
      <c r="H108" s="30" t="s">
        <v>1321</v>
      </c>
    </row>
    <row r="109" customFormat="false" ht="16.5" hidden="false" customHeight="true" outlineLevel="0" collapsed="false">
      <c r="A109" s="30" t="s">
        <v>965</v>
      </c>
      <c r="B109" s="30" t="s">
        <v>952</v>
      </c>
      <c r="C109" s="30" t="s">
        <v>1314</v>
      </c>
      <c r="D109" s="30" t="s">
        <v>477</v>
      </c>
      <c r="E109" s="30" t="n">
        <v>15</v>
      </c>
      <c r="F109" s="30" t="n">
        <v>13</v>
      </c>
      <c r="G109" s="30" t="n">
        <v>21</v>
      </c>
      <c r="H109" s="30" t="s">
        <v>1318</v>
      </c>
    </row>
    <row r="110" customFormat="false" ht="16.5" hidden="false" customHeight="true" outlineLevel="0" collapsed="false">
      <c r="A110" s="30" t="s">
        <v>965</v>
      </c>
      <c r="B110" s="30" t="s">
        <v>952</v>
      </c>
      <c r="C110" s="30" t="s">
        <v>1314</v>
      </c>
      <c r="D110" s="30" t="s">
        <v>355</v>
      </c>
      <c r="E110" s="30" t="n">
        <v>15</v>
      </c>
      <c r="F110" s="30" t="n">
        <v>13</v>
      </c>
      <c r="G110" s="30" t="n">
        <v>21</v>
      </c>
      <c r="H110" s="30"/>
    </row>
    <row r="111" customFormat="false" ht="16.5" hidden="false" customHeight="true" outlineLevel="0" collapsed="false">
      <c r="A111" s="30" t="s">
        <v>965</v>
      </c>
      <c r="B111" s="30" t="s">
        <v>952</v>
      </c>
      <c r="C111" s="30" t="s">
        <v>1314</v>
      </c>
      <c r="D111" s="30" t="s">
        <v>367</v>
      </c>
      <c r="E111" s="30" t="n">
        <v>15</v>
      </c>
      <c r="F111" s="30" t="n">
        <v>13</v>
      </c>
      <c r="G111" s="30" t="n">
        <v>21</v>
      </c>
      <c r="H111" s="30"/>
    </row>
    <row r="112" customFormat="false" ht="16.5" hidden="false" customHeight="true" outlineLevel="0" collapsed="false">
      <c r="A112" s="30" t="s">
        <v>965</v>
      </c>
      <c r="B112" s="30" t="s">
        <v>952</v>
      </c>
      <c r="C112" s="30" t="s">
        <v>1314</v>
      </c>
      <c r="D112" s="30" t="s">
        <v>468</v>
      </c>
      <c r="E112" s="30" t="n">
        <v>15</v>
      </c>
      <c r="F112" s="30" t="n">
        <v>13</v>
      </c>
      <c r="G112" s="30" t="n">
        <v>21</v>
      </c>
      <c r="H112" s="30" t="s">
        <v>1317</v>
      </c>
    </row>
    <row r="113" customFormat="false" ht="16.5" hidden="false" customHeight="true" outlineLevel="0" collapsed="false">
      <c r="A113" s="30" t="s">
        <v>965</v>
      </c>
      <c r="B113" s="30" t="s">
        <v>952</v>
      </c>
      <c r="C113" s="30" t="s">
        <v>1314</v>
      </c>
      <c r="D113" s="30" t="s">
        <v>437</v>
      </c>
      <c r="E113" s="30" t="n">
        <v>15</v>
      </c>
      <c r="F113" s="30" t="n">
        <v>13</v>
      </c>
      <c r="G113" s="30" t="n">
        <v>21</v>
      </c>
      <c r="H113" s="30"/>
    </row>
    <row r="114" customFormat="false" ht="16.5" hidden="false" customHeight="true" outlineLevel="0" collapsed="false">
      <c r="A114" s="30" t="s">
        <v>965</v>
      </c>
      <c r="B114" s="30" t="s">
        <v>952</v>
      </c>
      <c r="C114" s="30" t="s">
        <v>1314</v>
      </c>
      <c r="D114" s="30" t="s">
        <v>432</v>
      </c>
      <c r="E114" s="30" t="n">
        <v>15</v>
      </c>
      <c r="F114" s="30" t="n">
        <v>13</v>
      </c>
      <c r="G114" s="30" t="n">
        <v>21</v>
      </c>
      <c r="H114" s="30" t="s">
        <v>1317</v>
      </c>
    </row>
    <row r="115" customFormat="false" ht="16.5" hidden="false" customHeight="true" outlineLevel="0" collapsed="false">
      <c r="A115" s="30" t="s">
        <v>965</v>
      </c>
      <c r="B115" s="30" t="s">
        <v>952</v>
      </c>
      <c r="C115" s="30" t="s">
        <v>1314</v>
      </c>
      <c r="D115" s="30" t="s">
        <v>486</v>
      </c>
      <c r="E115" s="30" t="n">
        <v>10</v>
      </c>
      <c r="F115" s="30" t="n">
        <v>13</v>
      </c>
      <c r="G115" s="30" t="n">
        <v>21</v>
      </c>
      <c r="H115" s="30" t="s">
        <v>1318</v>
      </c>
    </row>
    <row r="116" customFormat="false" ht="16.5" hidden="false" customHeight="true" outlineLevel="0" collapsed="false">
      <c r="A116" s="30" t="s">
        <v>966</v>
      </c>
      <c r="B116" s="30" t="s">
        <v>952</v>
      </c>
      <c r="C116" s="30" t="s">
        <v>1314</v>
      </c>
      <c r="D116" s="30" t="s">
        <v>367</v>
      </c>
      <c r="E116" s="30" t="n">
        <v>15</v>
      </c>
      <c r="F116" s="30" t="n">
        <v>13</v>
      </c>
      <c r="G116" s="30" t="n">
        <v>21</v>
      </c>
      <c r="H116" s="30"/>
    </row>
    <row r="117" customFormat="false" ht="16.5" hidden="false" customHeight="true" outlineLevel="0" collapsed="false">
      <c r="A117" s="30" t="s">
        <v>966</v>
      </c>
      <c r="B117" s="30" t="s">
        <v>952</v>
      </c>
      <c r="C117" s="30" t="s">
        <v>1314</v>
      </c>
      <c r="D117" s="30" t="s">
        <v>437</v>
      </c>
      <c r="E117" s="30" t="n">
        <v>15</v>
      </c>
      <c r="F117" s="30" t="n">
        <v>13</v>
      </c>
      <c r="G117" s="30" t="n">
        <v>21</v>
      </c>
      <c r="H117" s="30"/>
    </row>
    <row r="118" customFormat="false" ht="16.5" hidden="false" customHeight="true" outlineLevel="0" collapsed="false">
      <c r="A118" s="30" t="s">
        <v>966</v>
      </c>
      <c r="B118" s="30" t="s">
        <v>952</v>
      </c>
      <c r="C118" s="30" t="s">
        <v>1314</v>
      </c>
      <c r="D118" s="30" t="s">
        <v>355</v>
      </c>
      <c r="E118" s="30" t="n">
        <v>15</v>
      </c>
      <c r="F118" s="30" t="n">
        <v>13</v>
      </c>
      <c r="G118" s="30" t="n">
        <v>21</v>
      </c>
      <c r="H118" s="30"/>
    </row>
    <row r="119" customFormat="false" ht="16.5" hidden="false" customHeight="true" outlineLevel="0" collapsed="false">
      <c r="A119" s="30" t="s">
        <v>966</v>
      </c>
      <c r="B119" s="30" t="s">
        <v>952</v>
      </c>
      <c r="C119" s="30" t="s">
        <v>1314</v>
      </c>
      <c r="D119" s="30" t="s">
        <v>432</v>
      </c>
      <c r="E119" s="30" t="n">
        <v>15</v>
      </c>
      <c r="F119" s="30" t="n">
        <v>13</v>
      </c>
      <c r="G119" s="30" t="n">
        <v>21</v>
      </c>
      <c r="H119" s="30" t="s">
        <v>1317</v>
      </c>
    </row>
    <row r="120" customFormat="false" ht="16.5" hidden="false" customHeight="true" outlineLevel="0" collapsed="false">
      <c r="A120" s="30" t="s">
        <v>966</v>
      </c>
      <c r="B120" s="30" t="s">
        <v>952</v>
      </c>
      <c r="C120" s="30" t="s">
        <v>1314</v>
      </c>
      <c r="D120" s="30" t="s">
        <v>468</v>
      </c>
      <c r="E120" s="30" t="n">
        <v>15</v>
      </c>
      <c r="F120" s="30" t="n">
        <v>13</v>
      </c>
      <c r="G120" s="30" t="n">
        <v>21</v>
      </c>
      <c r="H120" s="30" t="s">
        <v>1317</v>
      </c>
    </row>
    <row r="121" customFormat="false" ht="16.5" hidden="false" customHeight="true" outlineLevel="0" collapsed="false">
      <c r="A121" s="30" t="s">
        <v>966</v>
      </c>
      <c r="B121" s="30" t="s">
        <v>952</v>
      </c>
      <c r="C121" s="30" t="s">
        <v>1314</v>
      </c>
      <c r="D121" s="30" t="s">
        <v>477</v>
      </c>
      <c r="E121" s="30" t="n">
        <v>15</v>
      </c>
      <c r="F121" s="30" t="n">
        <v>13</v>
      </c>
      <c r="G121" s="30" t="n">
        <v>21</v>
      </c>
      <c r="H121" s="30" t="s">
        <v>1318</v>
      </c>
    </row>
    <row r="122" customFormat="false" ht="16.5" hidden="false" customHeight="true" outlineLevel="0" collapsed="false">
      <c r="A122" s="30" t="s">
        <v>966</v>
      </c>
      <c r="B122" s="30" t="s">
        <v>952</v>
      </c>
      <c r="C122" s="30" t="s">
        <v>1314</v>
      </c>
      <c r="D122" s="30" t="s">
        <v>486</v>
      </c>
      <c r="E122" s="30" t="n">
        <v>10</v>
      </c>
      <c r="F122" s="30" t="n">
        <v>13</v>
      </c>
      <c r="G122" s="30" t="n">
        <v>21</v>
      </c>
      <c r="H122" s="30" t="s">
        <v>1318</v>
      </c>
    </row>
    <row r="123" customFormat="false" ht="16.5" hidden="false" customHeight="true" outlineLevel="0" collapsed="false">
      <c r="A123" s="30" t="s">
        <v>968</v>
      </c>
      <c r="B123" s="30" t="s">
        <v>952</v>
      </c>
      <c r="C123" s="30" t="s">
        <v>1314</v>
      </c>
      <c r="D123" s="30" t="s">
        <v>355</v>
      </c>
      <c r="E123" s="30" t="n">
        <v>25</v>
      </c>
      <c r="F123" s="30" t="n">
        <v>13</v>
      </c>
      <c r="G123" s="30" t="n">
        <v>21</v>
      </c>
      <c r="H123" s="30"/>
    </row>
    <row r="124" customFormat="false" ht="16.5" hidden="false" customHeight="true" outlineLevel="0" collapsed="false">
      <c r="A124" s="30" t="s">
        <v>968</v>
      </c>
      <c r="B124" s="30" t="s">
        <v>952</v>
      </c>
      <c r="C124" s="30" t="s">
        <v>1314</v>
      </c>
      <c r="D124" s="30" t="s">
        <v>382</v>
      </c>
      <c r="E124" s="30" t="n">
        <v>25</v>
      </c>
      <c r="F124" s="30" t="n">
        <v>13</v>
      </c>
      <c r="G124" s="30" t="n">
        <v>21</v>
      </c>
      <c r="H124" s="30" t="s">
        <v>1318</v>
      </c>
    </row>
    <row r="125" customFormat="false" ht="16.5" hidden="false" customHeight="true" outlineLevel="0" collapsed="false">
      <c r="A125" s="30" t="s">
        <v>968</v>
      </c>
      <c r="B125" s="30" t="s">
        <v>952</v>
      </c>
      <c r="C125" s="30" t="s">
        <v>1314</v>
      </c>
      <c r="D125" s="30" t="s">
        <v>404</v>
      </c>
      <c r="E125" s="30" t="n">
        <v>25</v>
      </c>
      <c r="F125" s="30" t="n">
        <v>13</v>
      </c>
      <c r="G125" s="30" t="n">
        <v>21</v>
      </c>
      <c r="H125" s="30" t="s">
        <v>1317</v>
      </c>
    </row>
    <row r="126" customFormat="false" ht="16.5" hidden="false" customHeight="true" outlineLevel="0" collapsed="false">
      <c r="A126" s="30" t="s">
        <v>968</v>
      </c>
      <c r="B126" s="30" t="s">
        <v>952</v>
      </c>
      <c r="C126" s="30" t="s">
        <v>1314</v>
      </c>
      <c r="D126" s="30" t="s">
        <v>367</v>
      </c>
      <c r="E126" s="30" t="n">
        <v>25</v>
      </c>
      <c r="F126" s="30" t="n">
        <v>13</v>
      </c>
      <c r="G126" s="30" t="n">
        <v>21</v>
      </c>
      <c r="H126" s="30"/>
    </row>
    <row r="127" customFormat="false" ht="16.5" hidden="false" customHeight="true" outlineLevel="0" collapsed="false">
      <c r="A127" s="30" t="s">
        <v>969</v>
      </c>
      <c r="B127" s="30" t="s">
        <v>952</v>
      </c>
      <c r="C127" s="30" t="s">
        <v>1313</v>
      </c>
      <c r="D127" s="30" t="s">
        <v>491</v>
      </c>
      <c r="E127" s="30" t="n">
        <v>38</v>
      </c>
      <c r="F127" s="30" t="n">
        <v>13</v>
      </c>
      <c r="G127" s="30" t="n">
        <v>21</v>
      </c>
      <c r="H127" s="30"/>
    </row>
    <row r="128" customFormat="false" ht="16.5" hidden="false" customHeight="true" outlineLevel="0" collapsed="false">
      <c r="A128" s="30" t="s">
        <v>969</v>
      </c>
      <c r="B128" s="30" t="s">
        <v>952</v>
      </c>
      <c r="C128" s="30" t="s">
        <v>1313</v>
      </c>
      <c r="D128" s="30" t="s">
        <v>663</v>
      </c>
      <c r="E128" s="30" t="n">
        <v>37</v>
      </c>
      <c r="F128" s="30" t="n">
        <v>13</v>
      </c>
      <c r="G128" s="30" t="n">
        <v>21</v>
      </c>
      <c r="H128" s="30"/>
    </row>
    <row r="129" customFormat="false" ht="16.5" hidden="false" customHeight="true" outlineLevel="0" collapsed="false">
      <c r="A129" s="30" t="s">
        <v>969</v>
      </c>
      <c r="B129" s="30" t="s">
        <v>952</v>
      </c>
      <c r="C129" s="30" t="s">
        <v>1313</v>
      </c>
      <c r="D129" s="30" t="s">
        <v>493</v>
      </c>
      <c r="E129" s="30" t="n">
        <v>25</v>
      </c>
      <c r="F129" s="30" t="n">
        <v>13</v>
      </c>
      <c r="G129" s="30" t="n">
        <v>21</v>
      </c>
      <c r="H129" s="30"/>
    </row>
    <row r="130" customFormat="false" ht="16.5" hidden="false" customHeight="true" outlineLevel="0" collapsed="false">
      <c r="A130" s="30" t="s">
        <v>969</v>
      </c>
      <c r="B130" s="30" t="s">
        <v>952</v>
      </c>
      <c r="C130" s="30" t="s">
        <v>1320</v>
      </c>
      <c r="D130" s="30" t="s">
        <v>701</v>
      </c>
      <c r="E130" s="30"/>
      <c r="F130" s="30" t="n">
        <v>25</v>
      </c>
      <c r="G130" s="30" t="n">
        <v>25</v>
      </c>
      <c r="H130" s="30"/>
    </row>
    <row r="131" customFormat="false" ht="16.5" hidden="false" customHeight="true" outlineLevel="0" collapsed="false">
      <c r="A131" s="30" t="s">
        <v>969</v>
      </c>
      <c r="B131" s="30" t="s">
        <v>952</v>
      </c>
      <c r="C131" s="30" t="s">
        <v>1319</v>
      </c>
      <c r="D131" s="30" t="s">
        <v>521</v>
      </c>
      <c r="E131" s="30" t="n">
        <v>75</v>
      </c>
      <c r="F131" s="30" t="n">
        <v>13</v>
      </c>
      <c r="G131" s="30" t="n">
        <v>21</v>
      </c>
      <c r="H131" s="30"/>
    </row>
    <row r="132" customFormat="false" ht="16.5" hidden="false" customHeight="true" outlineLevel="0" collapsed="false">
      <c r="A132" s="30" t="s">
        <v>969</v>
      </c>
      <c r="B132" s="30" t="s">
        <v>952</v>
      </c>
      <c r="C132" s="30" t="s">
        <v>1319</v>
      </c>
      <c r="D132" s="30" t="s">
        <v>523</v>
      </c>
      <c r="E132" s="30" t="n">
        <v>25</v>
      </c>
      <c r="F132" s="30" t="n">
        <v>13</v>
      </c>
      <c r="G132" s="30" t="n">
        <v>21</v>
      </c>
      <c r="H132" s="30"/>
    </row>
    <row r="133" customFormat="false" ht="16.5" hidden="false" customHeight="true" outlineLevel="0" collapsed="false">
      <c r="A133" s="30" t="s">
        <v>969</v>
      </c>
      <c r="B133" s="30" t="s">
        <v>952</v>
      </c>
      <c r="C133" s="30" t="s">
        <v>1314</v>
      </c>
      <c r="D133" s="30" t="s">
        <v>446</v>
      </c>
      <c r="E133" s="30" t="n">
        <v>23</v>
      </c>
      <c r="F133" s="30" t="n">
        <v>13</v>
      </c>
      <c r="G133" s="30" t="n">
        <v>21</v>
      </c>
      <c r="H133" s="30" t="s">
        <v>1318</v>
      </c>
    </row>
    <row r="134" customFormat="false" ht="16.5" hidden="false" customHeight="true" outlineLevel="0" collapsed="false">
      <c r="A134" s="30" t="s">
        <v>969</v>
      </c>
      <c r="B134" s="30" t="s">
        <v>952</v>
      </c>
      <c r="C134" s="30" t="s">
        <v>1314</v>
      </c>
      <c r="D134" s="30" t="s">
        <v>517</v>
      </c>
      <c r="E134" s="30" t="n">
        <v>23</v>
      </c>
      <c r="F134" s="30" t="n">
        <v>13</v>
      </c>
      <c r="G134" s="30" t="n">
        <v>21</v>
      </c>
      <c r="H134" s="30" t="s">
        <v>1317</v>
      </c>
    </row>
    <row r="135" customFormat="false" ht="16.5" hidden="false" customHeight="true" outlineLevel="0" collapsed="false">
      <c r="A135" s="30" t="s">
        <v>969</v>
      </c>
      <c r="B135" s="30" t="s">
        <v>952</v>
      </c>
      <c r="C135" s="30" t="s">
        <v>1314</v>
      </c>
      <c r="D135" s="30" t="s">
        <v>459</v>
      </c>
      <c r="E135" s="30" t="n">
        <v>23</v>
      </c>
      <c r="F135" s="30" t="n">
        <v>13</v>
      </c>
      <c r="G135" s="30" t="n">
        <v>21</v>
      </c>
      <c r="H135" s="30"/>
    </row>
    <row r="136" customFormat="false" ht="16.5" hidden="false" customHeight="true" outlineLevel="0" collapsed="false">
      <c r="A136" s="30" t="s">
        <v>969</v>
      </c>
      <c r="B136" s="30" t="s">
        <v>952</v>
      </c>
      <c r="C136" s="30" t="s">
        <v>1314</v>
      </c>
      <c r="D136" s="30" t="s">
        <v>349</v>
      </c>
      <c r="E136" s="30" t="n">
        <v>16</v>
      </c>
      <c r="F136" s="30" t="n">
        <v>13</v>
      </c>
      <c r="G136" s="30" t="n">
        <v>21</v>
      </c>
      <c r="H136" s="30"/>
    </row>
    <row r="137" customFormat="false" ht="16.5" hidden="false" customHeight="true" outlineLevel="0" collapsed="false">
      <c r="A137" s="30" t="s">
        <v>969</v>
      </c>
      <c r="B137" s="30" t="s">
        <v>952</v>
      </c>
      <c r="C137" s="30" t="s">
        <v>1314</v>
      </c>
      <c r="D137" s="30" t="s">
        <v>338</v>
      </c>
      <c r="E137" s="30" t="n">
        <v>15</v>
      </c>
      <c r="F137" s="30" t="n">
        <v>13</v>
      </c>
      <c r="G137" s="30" t="n">
        <v>21</v>
      </c>
      <c r="H137" s="30"/>
    </row>
    <row r="138" customFormat="false" ht="16.5" hidden="false" customHeight="true" outlineLevel="0" collapsed="false">
      <c r="A138" s="30" t="s">
        <v>974</v>
      </c>
      <c r="B138" s="30" t="s">
        <v>952</v>
      </c>
      <c r="C138" s="30" t="s">
        <v>1314</v>
      </c>
      <c r="D138" s="30" t="s">
        <v>574</v>
      </c>
      <c r="E138" s="30" t="n">
        <v>100</v>
      </c>
      <c r="F138" s="30" t="n">
        <v>13</v>
      </c>
      <c r="G138" s="30" t="n">
        <v>21</v>
      </c>
      <c r="H138" s="30"/>
    </row>
    <row r="139" customFormat="false" ht="16.5" hidden="false" customHeight="true" outlineLevel="0" collapsed="false">
      <c r="A139" s="30" t="s">
        <v>977</v>
      </c>
      <c r="B139" s="30" t="s">
        <v>975</v>
      </c>
      <c r="C139" s="30" t="s">
        <v>1314</v>
      </c>
      <c r="D139" s="30" t="s">
        <v>667</v>
      </c>
      <c r="E139" s="30" t="n">
        <v>14</v>
      </c>
      <c r="F139" s="30" t="n">
        <v>22</v>
      </c>
      <c r="G139" s="30" t="n">
        <v>30</v>
      </c>
      <c r="H139" s="30"/>
    </row>
    <row r="140" customFormat="false" ht="16.5" hidden="false" customHeight="true" outlineLevel="0" collapsed="false">
      <c r="A140" s="30" t="s">
        <v>977</v>
      </c>
      <c r="B140" s="30" t="s">
        <v>975</v>
      </c>
      <c r="C140" s="30" t="s">
        <v>1314</v>
      </c>
      <c r="D140" s="30" t="s">
        <v>360</v>
      </c>
      <c r="E140" s="30" t="n">
        <v>14</v>
      </c>
      <c r="F140" s="30" t="n">
        <v>22</v>
      </c>
      <c r="G140" s="30" t="n">
        <v>30</v>
      </c>
      <c r="H140" s="30"/>
    </row>
    <row r="141" customFormat="false" ht="16.5" hidden="false" customHeight="true" outlineLevel="0" collapsed="false">
      <c r="A141" s="30" t="s">
        <v>977</v>
      </c>
      <c r="B141" s="30" t="s">
        <v>975</v>
      </c>
      <c r="C141" s="30" t="s">
        <v>1314</v>
      </c>
      <c r="D141" s="30" t="s">
        <v>459</v>
      </c>
      <c r="E141" s="30" t="n">
        <v>14</v>
      </c>
      <c r="F141" s="30" t="n">
        <v>22</v>
      </c>
      <c r="G141" s="30" t="n">
        <v>30</v>
      </c>
      <c r="H141" s="30"/>
    </row>
    <row r="142" customFormat="false" ht="16.5" hidden="false" customHeight="true" outlineLevel="0" collapsed="false">
      <c r="A142" s="30" t="s">
        <v>977</v>
      </c>
      <c r="B142" s="30" t="s">
        <v>975</v>
      </c>
      <c r="C142" s="30" t="s">
        <v>1314</v>
      </c>
      <c r="D142" s="30" t="s">
        <v>446</v>
      </c>
      <c r="E142" s="30" t="n">
        <v>14</v>
      </c>
      <c r="F142" s="30" t="n">
        <v>22</v>
      </c>
      <c r="G142" s="30" t="n">
        <v>30</v>
      </c>
      <c r="H142" s="30" t="s">
        <v>1318</v>
      </c>
    </row>
    <row r="143" customFormat="false" ht="16.5" hidden="false" customHeight="true" outlineLevel="0" collapsed="false">
      <c r="A143" s="30" t="s">
        <v>977</v>
      </c>
      <c r="B143" s="30" t="s">
        <v>975</v>
      </c>
      <c r="C143" s="30" t="s">
        <v>1314</v>
      </c>
      <c r="D143" s="30" t="s">
        <v>674</v>
      </c>
      <c r="E143" s="30" t="n">
        <v>13</v>
      </c>
      <c r="F143" s="30" t="n">
        <v>22</v>
      </c>
      <c r="G143" s="30" t="n">
        <v>30</v>
      </c>
      <c r="H143" s="30"/>
    </row>
    <row r="144" customFormat="false" ht="16.5" hidden="false" customHeight="true" outlineLevel="0" collapsed="false">
      <c r="A144" s="30" t="s">
        <v>977</v>
      </c>
      <c r="B144" s="30" t="s">
        <v>975</v>
      </c>
      <c r="C144" s="30" t="s">
        <v>1314</v>
      </c>
      <c r="D144" s="30" t="s">
        <v>517</v>
      </c>
      <c r="E144" s="30" t="n">
        <v>13</v>
      </c>
      <c r="F144" s="30" t="n">
        <v>22</v>
      </c>
      <c r="G144" s="30" t="n">
        <v>30</v>
      </c>
      <c r="H144" s="30" t="s">
        <v>1317</v>
      </c>
    </row>
    <row r="145" customFormat="false" ht="16.5" hidden="false" customHeight="true" outlineLevel="0" collapsed="false">
      <c r="A145" s="30" t="s">
        <v>977</v>
      </c>
      <c r="B145" s="30" t="s">
        <v>975</v>
      </c>
      <c r="C145" s="30" t="s">
        <v>1314</v>
      </c>
      <c r="D145" s="30" t="s">
        <v>338</v>
      </c>
      <c r="E145" s="30" t="n">
        <v>9</v>
      </c>
      <c r="F145" s="30" t="n">
        <v>22</v>
      </c>
      <c r="G145" s="30" t="n">
        <v>30</v>
      </c>
      <c r="H145" s="30"/>
    </row>
    <row r="146" customFormat="false" ht="16.5" hidden="false" customHeight="true" outlineLevel="0" collapsed="false">
      <c r="A146" s="30" t="s">
        <v>977</v>
      </c>
      <c r="B146" s="30" t="s">
        <v>975</v>
      </c>
      <c r="C146" s="30" t="s">
        <v>1314</v>
      </c>
      <c r="D146" s="30" t="s">
        <v>349</v>
      </c>
      <c r="E146" s="30" t="n">
        <v>9</v>
      </c>
      <c r="F146" s="30" t="n">
        <v>22</v>
      </c>
      <c r="G146" s="30" t="n">
        <v>30</v>
      </c>
      <c r="H146" s="30"/>
    </row>
    <row r="147" customFormat="false" ht="16.5" hidden="false" customHeight="true" outlineLevel="0" collapsed="false">
      <c r="A147" s="30" t="s">
        <v>978</v>
      </c>
      <c r="B147" s="30" t="s">
        <v>975</v>
      </c>
      <c r="C147" s="30" t="s">
        <v>1314</v>
      </c>
      <c r="D147" s="30" t="s">
        <v>674</v>
      </c>
      <c r="E147" s="30" t="n">
        <v>14</v>
      </c>
      <c r="F147" s="30" t="n">
        <v>22</v>
      </c>
      <c r="G147" s="30" t="n">
        <v>30</v>
      </c>
      <c r="H147" s="30"/>
    </row>
    <row r="148" customFormat="false" ht="16.5" hidden="false" customHeight="true" outlineLevel="0" collapsed="false">
      <c r="A148" s="30" t="s">
        <v>978</v>
      </c>
      <c r="B148" s="30" t="s">
        <v>975</v>
      </c>
      <c r="C148" s="30" t="s">
        <v>1314</v>
      </c>
      <c r="D148" s="30" t="s">
        <v>517</v>
      </c>
      <c r="E148" s="30" t="n">
        <v>14</v>
      </c>
      <c r="F148" s="30" t="n">
        <v>22</v>
      </c>
      <c r="G148" s="30" t="n">
        <v>30</v>
      </c>
      <c r="H148" s="30" t="s">
        <v>1317</v>
      </c>
    </row>
    <row r="149" customFormat="false" ht="16.5" hidden="false" customHeight="true" outlineLevel="0" collapsed="false">
      <c r="A149" s="30" t="s">
        <v>978</v>
      </c>
      <c r="B149" s="30" t="s">
        <v>975</v>
      </c>
      <c r="C149" s="30" t="s">
        <v>1314</v>
      </c>
      <c r="D149" s="30" t="s">
        <v>459</v>
      </c>
      <c r="E149" s="30" t="n">
        <v>14</v>
      </c>
      <c r="F149" s="30" t="n">
        <v>22</v>
      </c>
      <c r="G149" s="30" t="n">
        <v>30</v>
      </c>
      <c r="H149" s="30"/>
    </row>
    <row r="150" customFormat="false" ht="16.5" hidden="false" customHeight="true" outlineLevel="0" collapsed="false">
      <c r="A150" s="30" t="s">
        <v>978</v>
      </c>
      <c r="B150" s="30" t="s">
        <v>975</v>
      </c>
      <c r="C150" s="30" t="s">
        <v>1314</v>
      </c>
      <c r="D150" s="30" t="s">
        <v>667</v>
      </c>
      <c r="E150" s="30" t="n">
        <v>14</v>
      </c>
      <c r="F150" s="30" t="n">
        <v>22</v>
      </c>
      <c r="G150" s="30" t="n">
        <v>30</v>
      </c>
      <c r="H150" s="30"/>
    </row>
    <row r="151" customFormat="false" ht="16.5" hidden="false" customHeight="true" outlineLevel="0" collapsed="false">
      <c r="A151" s="30" t="s">
        <v>978</v>
      </c>
      <c r="B151" s="30" t="s">
        <v>975</v>
      </c>
      <c r="C151" s="30" t="s">
        <v>1314</v>
      </c>
      <c r="D151" s="30" t="s">
        <v>360</v>
      </c>
      <c r="E151" s="30" t="n">
        <v>13</v>
      </c>
      <c r="F151" s="30" t="n">
        <v>22</v>
      </c>
      <c r="G151" s="30" t="n">
        <v>30</v>
      </c>
      <c r="H151" s="30"/>
    </row>
    <row r="152" customFormat="false" ht="16.5" hidden="false" customHeight="true" outlineLevel="0" collapsed="false">
      <c r="A152" s="30" t="s">
        <v>978</v>
      </c>
      <c r="B152" s="30" t="s">
        <v>975</v>
      </c>
      <c r="C152" s="30" t="s">
        <v>1314</v>
      </c>
      <c r="D152" s="30" t="s">
        <v>446</v>
      </c>
      <c r="E152" s="30" t="n">
        <v>13</v>
      </c>
      <c r="F152" s="30" t="n">
        <v>22</v>
      </c>
      <c r="G152" s="30" t="n">
        <v>30</v>
      </c>
      <c r="H152" s="30" t="s">
        <v>1318</v>
      </c>
    </row>
    <row r="153" customFormat="false" ht="16.5" hidden="false" customHeight="true" outlineLevel="0" collapsed="false">
      <c r="A153" s="30" t="s">
        <v>978</v>
      </c>
      <c r="B153" s="30" t="s">
        <v>975</v>
      </c>
      <c r="C153" s="30" t="s">
        <v>1314</v>
      </c>
      <c r="D153" s="30" t="s">
        <v>338</v>
      </c>
      <c r="E153" s="30" t="n">
        <v>9</v>
      </c>
      <c r="F153" s="30" t="n">
        <v>22</v>
      </c>
      <c r="G153" s="30" t="n">
        <v>30</v>
      </c>
      <c r="H153" s="30"/>
    </row>
    <row r="154" customFormat="false" ht="16.5" hidden="false" customHeight="true" outlineLevel="0" collapsed="false">
      <c r="A154" s="30" t="s">
        <v>978</v>
      </c>
      <c r="B154" s="30" t="s">
        <v>975</v>
      </c>
      <c r="C154" s="30" t="s">
        <v>1314</v>
      </c>
      <c r="D154" s="30" t="s">
        <v>349</v>
      </c>
      <c r="E154" s="30" t="n">
        <v>9</v>
      </c>
      <c r="F154" s="30" t="n">
        <v>22</v>
      </c>
      <c r="G154" s="30" t="n">
        <v>30</v>
      </c>
      <c r="H154" s="30"/>
    </row>
    <row r="155" customFormat="false" ht="16.5" hidden="false" customHeight="true" outlineLevel="0" collapsed="false">
      <c r="A155" s="30" t="s">
        <v>979</v>
      </c>
      <c r="B155" s="30" t="s">
        <v>975</v>
      </c>
      <c r="C155" s="30" t="s">
        <v>1314</v>
      </c>
      <c r="D155" s="30" t="s">
        <v>674</v>
      </c>
      <c r="E155" s="30" t="n">
        <v>15</v>
      </c>
      <c r="F155" s="30" t="n">
        <v>22</v>
      </c>
      <c r="G155" s="30" t="n">
        <v>30</v>
      </c>
      <c r="H155" s="30"/>
    </row>
    <row r="156" customFormat="false" ht="16.5" hidden="false" customHeight="true" outlineLevel="0" collapsed="false">
      <c r="A156" s="30" t="s">
        <v>979</v>
      </c>
      <c r="B156" s="30" t="s">
        <v>975</v>
      </c>
      <c r="C156" s="30" t="s">
        <v>1314</v>
      </c>
      <c r="D156" s="30" t="s">
        <v>446</v>
      </c>
      <c r="E156" s="30" t="n">
        <v>15</v>
      </c>
      <c r="F156" s="30" t="n">
        <v>22</v>
      </c>
      <c r="G156" s="30" t="n">
        <v>30</v>
      </c>
      <c r="H156" s="30" t="s">
        <v>1318</v>
      </c>
    </row>
    <row r="157" customFormat="false" ht="16.5" hidden="false" customHeight="true" outlineLevel="0" collapsed="false">
      <c r="A157" s="30" t="s">
        <v>979</v>
      </c>
      <c r="B157" s="30" t="s">
        <v>975</v>
      </c>
      <c r="C157" s="30" t="s">
        <v>1314</v>
      </c>
      <c r="D157" s="30" t="s">
        <v>517</v>
      </c>
      <c r="E157" s="30" t="n">
        <v>15</v>
      </c>
      <c r="F157" s="30" t="n">
        <v>22</v>
      </c>
      <c r="G157" s="30" t="n">
        <v>30</v>
      </c>
      <c r="H157" s="30" t="s">
        <v>1317</v>
      </c>
    </row>
    <row r="158" customFormat="false" ht="16.5" hidden="false" customHeight="true" outlineLevel="0" collapsed="false">
      <c r="A158" s="30" t="s">
        <v>979</v>
      </c>
      <c r="B158" s="30" t="s">
        <v>975</v>
      </c>
      <c r="C158" s="30" t="s">
        <v>1314</v>
      </c>
      <c r="D158" s="30" t="s">
        <v>459</v>
      </c>
      <c r="E158" s="30" t="n">
        <v>15</v>
      </c>
      <c r="F158" s="30" t="n">
        <v>22</v>
      </c>
      <c r="G158" s="30" t="n">
        <v>30</v>
      </c>
      <c r="H158" s="30"/>
    </row>
    <row r="159" customFormat="false" ht="16.5" hidden="false" customHeight="true" outlineLevel="0" collapsed="false">
      <c r="A159" s="30" t="s">
        <v>979</v>
      </c>
      <c r="B159" s="30" t="s">
        <v>975</v>
      </c>
      <c r="C159" s="30" t="s">
        <v>1314</v>
      </c>
      <c r="D159" s="30" t="s">
        <v>667</v>
      </c>
      <c r="E159" s="30" t="n">
        <v>15</v>
      </c>
      <c r="F159" s="30" t="n">
        <v>22</v>
      </c>
      <c r="G159" s="30" t="n">
        <v>30</v>
      </c>
      <c r="H159" s="30"/>
    </row>
    <row r="160" customFormat="false" ht="16.5" hidden="false" customHeight="true" outlineLevel="0" collapsed="false">
      <c r="A160" s="30" t="s">
        <v>979</v>
      </c>
      <c r="B160" s="30" t="s">
        <v>975</v>
      </c>
      <c r="C160" s="30" t="s">
        <v>1314</v>
      </c>
      <c r="D160" s="30" t="s">
        <v>360</v>
      </c>
      <c r="E160" s="30" t="n">
        <v>15</v>
      </c>
      <c r="F160" s="30" t="n">
        <v>22</v>
      </c>
      <c r="G160" s="30" t="n">
        <v>30</v>
      </c>
      <c r="H160" s="30"/>
    </row>
    <row r="161" customFormat="false" ht="16.5" hidden="false" customHeight="true" outlineLevel="0" collapsed="false">
      <c r="A161" s="30" t="s">
        <v>979</v>
      </c>
      <c r="B161" s="30" t="s">
        <v>975</v>
      </c>
      <c r="C161" s="30" t="s">
        <v>1314</v>
      </c>
      <c r="D161" s="30" t="s">
        <v>338</v>
      </c>
      <c r="E161" s="30" t="n">
        <v>10</v>
      </c>
      <c r="F161" s="30" t="n">
        <v>22</v>
      </c>
      <c r="G161" s="30" t="n">
        <v>30</v>
      </c>
      <c r="H161" s="30"/>
    </row>
    <row r="162" customFormat="false" ht="16.5" hidden="false" customHeight="true" outlineLevel="0" collapsed="false">
      <c r="A162" s="30" t="s">
        <v>980</v>
      </c>
      <c r="B162" s="30" t="s">
        <v>975</v>
      </c>
      <c r="C162" s="30" t="s">
        <v>1320</v>
      </c>
      <c r="D162" s="30" t="s">
        <v>701</v>
      </c>
      <c r="E162" s="30"/>
      <c r="F162" s="30" t="n">
        <v>25</v>
      </c>
      <c r="G162" s="30" t="n">
        <v>25</v>
      </c>
      <c r="H162" s="30"/>
    </row>
    <row r="163" customFormat="false" ht="16.5" hidden="false" customHeight="true" outlineLevel="0" collapsed="false">
      <c r="A163" s="30" t="s">
        <v>980</v>
      </c>
      <c r="B163" s="30" t="s">
        <v>975</v>
      </c>
      <c r="C163" s="30" t="s">
        <v>1314</v>
      </c>
      <c r="D163" s="30" t="s">
        <v>559</v>
      </c>
      <c r="E163" s="30" t="n">
        <v>60</v>
      </c>
      <c r="F163" s="30" t="n">
        <v>22</v>
      </c>
      <c r="G163" s="30" t="n">
        <v>30</v>
      </c>
      <c r="H163" s="30"/>
    </row>
    <row r="164" customFormat="false" ht="16.5" hidden="false" customHeight="true" outlineLevel="0" collapsed="false">
      <c r="A164" s="30" t="s">
        <v>980</v>
      </c>
      <c r="B164" s="30" t="s">
        <v>975</v>
      </c>
      <c r="C164" s="30" t="s">
        <v>1314</v>
      </c>
      <c r="D164" s="30" t="s">
        <v>370</v>
      </c>
      <c r="E164" s="30" t="n">
        <v>40</v>
      </c>
      <c r="F164" s="30" t="n">
        <v>22</v>
      </c>
      <c r="G164" s="30" t="n">
        <v>30</v>
      </c>
      <c r="H164" s="30"/>
    </row>
    <row r="165" customFormat="false" ht="16.5" hidden="false" customHeight="true" outlineLevel="0" collapsed="false">
      <c r="A165" s="30" t="s">
        <v>981</v>
      </c>
      <c r="B165" s="30" t="s">
        <v>975</v>
      </c>
      <c r="C165" s="30" t="s">
        <v>1314</v>
      </c>
      <c r="D165" s="30" t="s">
        <v>559</v>
      </c>
      <c r="E165" s="30" t="n">
        <v>38</v>
      </c>
      <c r="F165" s="30" t="n">
        <v>22</v>
      </c>
      <c r="G165" s="30" t="n">
        <v>30</v>
      </c>
      <c r="H165" s="30"/>
    </row>
    <row r="166" customFormat="false" ht="16.5" hidden="false" customHeight="true" outlineLevel="0" collapsed="false">
      <c r="A166" s="30" t="s">
        <v>981</v>
      </c>
      <c r="B166" s="30" t="s">
        <v>975</v>
      </c>
      <c r="C166" s="30" t="s">
        <v>1314</v>
      </c>
      <c r="D166" s="30" t="s">
        <v>768</v>
      </c>
      <c r="E166" s="30" t="n">
        <v>37</v>
      </c>
      <c r="F166" s="30" t="n">
        <v>22</v>
      </c>
      <c r="G166" s="30" t="n">
        <v>30</v>
      </c>
      <c r="H166" s="30"/>
    </row>
    <row r="167" customFormat="false" ht="16.5" hidden="false" customHeight="true" outlineLevel="0" collapsed="false">
      <c r="A167" s="30" t="s">
        <v>981</v>
      </c>
      <c r="B167" s="30" t="s">
        <v>975</v>
      </c>
      <c r="C167" s="30" t="s">
        <v>1314</v>
      </c>
      <c r="D167" s="30" t="s">
        <v>561</v>
      </c>
      <c r="E167" s="30" t="n">
        <v>25</v>
      </c>
      <c r="F167" s="30" t="n">
        <v>22</v>
      </c>
      <c r="G167" s="30" t="n">
        <v>30</v>
      </c>
      <c r="H167" s="30"/>
    </row>
    <row r="168" customFormat="false" ht="16.5" hidden="false" customHeight="true" outlineLevel="0" collapsed="false">
      <c r="A168" s="30" t="s">
        <v>983</v>
      </c>
      <c r="B168" s="30" t="s">
        <v>975</v>
      </c>
      <c r="C168" s="30" t="s">
        <v>1314</v>
      </c>
      <c r="D168" s="30" t="s">
        <v>559</v>
      </c>
      <c r="E168" s="30" t="n">
        <v>43</v>
      </c>
      <c r="F168" s="30" t="n">
        <v>22</v>
      </c>
      <c r="G168" s="30" t="n">
        <v>30</v>
      </c>
      <c r="H168" s="30"/>
    </row>
    <row r="169" customFormat="false" ht="16.5" hidden="false" customHeight="true" outlineLevel="0" collapsed="false">
      <c r="A169" s="30" t="s">
        <v>983</v>
      </c>
      <c r="B169" s="30" t="s">
        <v>975</v>
      </c>
      <c r="C169" s="30" t="s">
        <v>1314</v>
      </c>
      <c r="D169" s="30" t="s">
        <v>561</v>
      </c>
      <c r="E169" s="30" t="n">
        <v>29</v>
      </c>
      <c r="F169" s="30" t="n">
        <v>22</v>
      </c>
      <c r="G169" s="30" t="n">
        <v>30</v>
      </c>
      <c r="H169" s="30"/>
    </row>
    <row r="170" customFormat="false" ht="16.5" hidden="false" customHeight="true" outlineLevel="0" collapsed="false">
      <c r="A170" s="30" t="s">
        <v>983</v>
      </c>
      <c r="B170" s="30" t="s">
        <v>975</v>
      </c>
      <c r="C170" s="30" t="s">
        <v>1314</v>
      </c>
      <c r="D170" s="30" t="s">
        <v>370</v>
      </c>
      <c r="E170" s="30" t="n">
        <v>28</v>
      </c>
      <c r="F170" s="30" t="n">
        <v>22</v>
      </c>
      <c r="G170" s="30" t="n">
        <v>30</v>
      </c>
      <c r="H170" s="30"/>
    </row>
    <row r="171" customFormat="false" ht="16.5" hidden="false" customHeight="true" outlineLevel="0" collapsed="false">
      <c r="A171" s="30" t="s">
        <v>984</v>
      </c>
      <c r="B171" s="30" t="s">
        <v>975</v>
      </c>
      <c r="C171" s="30" t="s">
        <v>1313</v>
      </c>
      <c r="D171" s="30" t="s">
        <v>663</v>
      </c>
      <c r="E171" s="30" t="n">
        <v>34</v>
      </c>
      <c r="F171" s="30" t="n">
        <v>22</v>
      </c>
      <c r="G171" s="30" t="n">
        <v>30</v>
      </c>
      <c r="H171" s="30"/>
    </row>
    <row r="172" customFormat="false" ht="16.5" hidden="false" customHeight="true" outlineLevel="0" collapsed="false">
      <c r="A172" s="30" t="s">
        <v>984</v>
      </c>
      <c r="B172" s="30" t="s">
        <v>975</v>
      </c>
      <c r="C172" s="30" t="s">
        <v>1313</v>
      </c>
      <c r="D172" s="30" t="s">
        <v>578</v>
      </c>
      <c r="E172" s="30" t="n">
        <v>33</v>
      </c>
      <c r="F172" s="30" t="n">
        <v>22</v>
      </c>
      <c r="G172" s="30" t="n">
        <v>30</v>
      </c>
      <c r="H172" s="30"/>
    </row>
    <row r="173" customFormat="false" ht="16.5" hidden="false" customHeight="true" outlineLevel="0" collapsed="false">
      <c r="A173" s="30" t="s">
        <v>984</v>
      </c>
      <c r="B173" s="30" t="s">
        <v>975</v>
      </c>
      <c r="C173" s="30" t="s">
        <v>1313</v>
      </c>
      <c r="D173" s="30" t="s">
        <v>643</v>
      </c>
      <c r="E173" s="30" t="n">
        <v>33</v>
      </c>
      <c r="F173" s="30" t="n">
        <v>22</v>
      </c>
      <c r="G173" s="30" t="n">
        <v>30</v>
      </c>
      <c r="H173" s="30"/>
    </row>
    <row r="174" customFormat="false" ht="16.5" hidden="false" customHeight="true" outlineLevel="0" collapsed="false">
      <c r="A174" s="30" t="s">
        <v>984</v>
      </c>
      <c r="B174" s="30" t="s">
        <v>975</v>
      </c>
      <c r="C174" s="30" t="s">
        <v>1319</v>
      </c>
      <c r="D174" s="30" t="s">
        <v>541</v>
      </c>
      <c r="E174" s="30" t="n">
        <v>100</v>
      </c>
      <c r="F174" s="30" t="n">
        <v>22</v>
      </c>
      <c r="G174" s="30" t="n">
        <v>30</v>
      </c>
      <c r="H174" s="30"/>
    </row>
    <row r="175" customFormat="false" ht="16.5" hidden="false" customHeight="true" outlineLevel="0" collapsed="false">
      <c r="A175" s="30" t="s">
        <v>986</v>
      </c>
      <c r="B175" s="30" t="s">
        <v>975</v>
      </c>
      <c r="C175" s="30" t="s">
        <v>1313</v>
      </c>
      <c r="D175" s="30" t="s">
        <v>635</v>
      </c>
      <c r="E175" s="30" t="n">
        <v>22</v>
      </c>
      <c r="F175" s="30" t="n">
        <v>22</v>
      </c>
      <c r="G175" s="30" t="n">
        <v>30</v>
      </c>
      <c r="H175" s="30"/>
    </row>
    <row r="176" customFormat="false" ht="16.5" hidden="false" customHeight="true" outlineLevel="0" collapsed="false">
      <c r="A176" s="30" t="s">
        <v>986</v>
      </c>
      <c r="B176" s="30" t="s">
        <v>975</v>
      </c>
      <c r="C176" s="30" t="s">
        <v>1313</v>
      </c>
      <c r="D176" s="30" t="s">
        <v>578</v>
      </c>
      <c r="E176" s="30" t="n">
        <v>22</v>
      </c>
      <c r="F176" s="30" t="n">
        <v>22</v>
      </c>
      <c r="G176" s="30" t="n">
        <v>30</v>
      </c>
      <c r="H176" s="30"/>
    </row>
    <row r="177" customFormat="false" ht="16.5" hidden="false" customHeight="true" outlineLevel="0" collapsed="false">
      <c r="A177" s="30" t="s">
        <v>986</v>
      </c>
      <c r="B177" s="30" t="s">
        <v>975</v>
      </c>
      <c r="C177" s="30" t="s">
        <v>1313</v>
      </c>
      <c r="D177" s="30" t="s">
        <v>643</v>
      </c>
      <c r="E177" s="30" t="n">
        <v>21</v>
      </c>
      <c r="F177" s="30" t="n">
        <v>22</v>
      </c>
      <c r="G177" s="30" t="n">
        <v>30</v>
      </c>
      <c r="H177" s="30"/>
    </row>
    <row r="178" customFormat="false" ht="16.5" hidden="false" customHeight="true" outlineLevel="0" collapsed="false">
      <c r="A178" s="30" t="s">
        <v>986</v>
      </c>
      <c r="B178" s="30" t="s">
        <v>975</v>
      </c>
      <c r="C178" s="30" t="s">
        <v>1313</v>
      </c>
      <c r="D178" s="30" t="s">
        <v>663</v>
      </c>
      <c r="E178" s="30" t="n">
        <v>21</v>
      </c>
      <c r="F178" s="30" t="n">
        <v>22</v>
      </c>
      <c r="G178" s="30" t="n">
        <v>30</v>
      </c>
      <c r="H178" s="30"/>
    </row>
    <row r="179" customFormat="false" ht="16.5" hidden="false" customHeight="true" outlineLevel="0" collapsed="false">
      <c r="A179" s="30" t="s">
        <v>986</v>
      </c>
      <c r="B179" s="30" t="s">
        <v>975</v>
      </c>
      <c r="C179" s="30" t="s">
        <v>1313</v>
      </c>
      <c r="D179" s="30" t="s">
        <v>637</v>
      </c>
      <c r="E179" s="30" t="n">
        <v>14</v>
      </c>
      <c r="F179" s="30" t="n">
        <v>22</v>
      </c>
      <c r="G179" s="30" t="n">
        <v>30</v>
      </c>
      <c r="H179" s="30"/>
    </row>
    <row r="180" customFormat="false" ht="16.5" hidden="false" customHeight="true" outlineLevel="0" collapsed="false">
      <c r="A180" s="30" t="s">
        <v>986</v>
      </c>
      <c r="B180" s="30" t="s">
        <v>975</v>
      </c>
      <c r="C180" s="30" t="s">
        <v>1319</v>
      </c>
      <c r="D180" s="30" t="s">
        <v>521</v>
      </c>
      <c r="E180" s="30" t="n">
        <v>75</v>
      </c>
      <c r="F180" s="30" t="n">
        <v>22</v>
      </c>
      <c r="G180" s="30" t="n">
        <v>30</v>
      </c>
      <c r="H180" s="30"/>
    </row>
    <row r="181" customFormat="false" ht="16.5" hidden="false" customHeight="true" outlineLevel="0" collapsed="false">
      <c r="A181" s="30" t="s">
        <v>986</v>
      </c>
      <c r="B181" s="30" t="s">
        <v>975</v>
      </c>
      <c r="C181" s="30" t="s">
        <v>1319</v>
      </c>
      <c r="D181" s="30" t="s">
        <v>523</v>
      </c>
      <c r="E181" s="30" t="n">
        <v>25</v>
      </c>
      <c r="F181" s="30" t="n">
        <v>22</v>
      </c>
      <c r="G181" s="30" t="n">
        <v>30</v>
      </c>
      <c r="H181" s="30"/>
    </row>
    <row r="182" customFormat="false" ht="16.5" hidden="false" customHeight="true" outlineLevel="0" collapsed="false">
      <c r="A182" s="30" t="s">
        <v>988</v>
      </c>
      <c r="B182" s="30" t="s">
        <v>975</v>
      </c>
      <c r="C182" s="30" t="s">
        <v>1313</v>
      </c>
      <c r="D182" s="30" t="s">
        <v>643</v>
      </c>
      <c r="E182" s="30" t="n">
        <v>22</v>
      </c>
      <c r="F182" s="30" t="n">
        <v>22</v>
      </c>
      <c r="G182" s="30" t="n">
        <v>30</v>
      </c>
      <c r="H182" s="30"/>
    </row>
    <row r="183" customFormat="false" ht="16.5" hidden="false" customHeight="true" outlineLevel="0" collapsed="false">
      <c r="A183" s="30" t="s">
        <v>988</v>
      </c>
      <c r="B183" s="30" t="s">
        <v>975</v>
      </c>
      <c r="C183" s="30" t="s">
        <v>1313</v>
      </c>
      <c r="D183" s="30" t="s">
        <v>663</v>
      </c>
      <c r="E183" s="30" t="n">
        <v>22</v>
      </c>
      <c r="F183" s="30" t="n">
        <v>22</v>
      </c>
      <c r="G183" s="30" t="n">
        <v>30</v>
      </c>
      <c r="H183" s="30"/>
    </row>
    <row r="184" customFormat="false" ht="16.5" hidden="false" customHeight="true" outlineLevel="0" collapsed="false">
      <c r="A184" s="30" t="s">
        <v>988</v>
      </c>
      <c r="B184" s="30" t="s">
        <v>975</v>
      </c>
      <c r="C184" s="30" t="s">
        <v>1313</v>
      </c>
      <c r="D184" s="30" t="s">
        <v>635</v>
      </c>
      <c r="E184" s="30" t="n">
        <v>21</v>
      </c>
      <c r="F184" s="30" t="n">
        <v>22</v>
      </c>
      <c r="G184" s="30" t="n">
        <v>30</v>
      </c>
      <c r="H184" s="30"/>
    </row>
    <row r="185" customFormat="false" ht="16.5" hidden="false" customHeight="true" outlineLevel="0" collapsed="false">
      <c r="A185" s="30" t="s">
        <v>988</v>
      </c>
      <c r="B185" s="30" t="s">
        <v>975</v>
      </c>
      <c r="C185" s="30" t="s">
        <v>1313</v>
      </c>
      <c r="D185" s="30" t="s">
        <v>578</v>
      </c>
      <c r="E185" s="30" t="n">
        <v>21</v>
      </c>
      <c r="F185" s="30" t="n">
        <v>22</v>
      </c>
      <c r="G185" s="30" t="n">
        <v>30</v>
      </c>
      <c r="H185" s="30"/>
    </row>
    <row r="186" customFormat="false" ht="16.5" hidden="false" customHeight="true" outlineLevel="0" collapsed="false">
      <c r="A186" s="30" t="s">
        <v>988</v>
      </c>
      <c r="B186" s="30" t="s">
        <v>975</v>
      </c>
      <c r="C186" s="30" t="s">
        <v>1313</v>
      </c>
      <c r="D186" s="30" t="s">
        <v>637</v>
      </c>
      <c r="E186" s="30" t="n">
        <v>14</v>
      </c>
      <c r="F186" s="30" t="n">
        <v>22</v>
      </c>
      <c r="G186" s="30" t="n">
        <v>30</v>
      </c>
      <c r="H186" s="30"/>
    </row>
    <row r="187" customFormat="false" ht="16.5" hidden="false" customHeight="true" outlineLevel="0" collapsed="false">
      <c r="A187" s="30" t="s">
        <v>988</v>
      </c>
      <c r="B187" s="30" t="s">
        <v>975</v>
      </c>
      <c r="C187" s="30" t="s">
        <v>1319</v>
      </c>
      <c r="D187" s="30" t="s">
        <v>521</v>
      </c>
      <c r="E187" s="30" t="n">
        <v>75</v>
      </c>
      <c r="F187" s="30" t="n">
        <v>22</v>
      </c>
      <c r="G187" s="30" t="n">
        <v>30</v>
      </c>
      <c r="H187" s="30"/>
    </row>
    <row r="188" customFormat="false" ht="16.5" hidden="false" customHeight="true" outlineLevel="0" collapsed="false">
      <c r="A188" s="30" t="s">
        <v>988</v>
      </c>
      <c r="B188" s="30" t="s">
        <v>975</v>
      </c>
      <c r="C188" s="30" t="s">
        <v>1319</v>
      </c>
      <c r="D188" s="30" t="s">
        <v>523</v>
      </c>
      <c r="E188" s="30" t="n">
        <v>25</v>
      </c>
      <c r="F188" s="30" t="n">
        <v>22</v>
      </c>
      <c r="G188" s="30" t="n">
        <v>30</v>
      </c>
      <c r="H188" s="30"/>
    </row>
    <row r="189" customFormat="false" ht="16.5" hidden="false" customHeight="true" outlineLevel="0" collapsed="false">
      <c r="A189" s="30" t="s">
        <v>989</v>
      </c>
      <c r="B189" s="30" t="s">
        <v>975</v>
      </c>
      <c r="C189" s="30" t="s">
        <v>1313</v>
      </c>
      <c r="D189" s="30" t="s">
        <v>663</v>
      </c>
      <c r="E189" s="30" t="n">
        <v>22</v>
      </c>
      <c r="F189" s="30" t="n">
        <v>22</v>
      </c>
      <c r="G189" s="30" t="n">
        <v>30</v>
      </c>
      <c r="H189" s="30"/>
    </row>
    <row r="190" customFormat="false" ht="16.5" hidden="false" customHeight="true" outlineLevel="0" collapsed="false">
      <c r="A190" s="30" t="s">
        <v>989</v>
      </c>
      <c r="B190" s="30" t="s">
        <v>975</v>
      </c>
      <c r="C190" s="30" t="s">
        <v>1313</v>
      </c>
      <c r="D190" s="30" t="s">
        <v>578</v>
      </c>
      <c r="E190" s="30" t="n">
        <v>22</v>
      </c>
      <c r="F190" s="30" t="n">
        <v>22</v>
      </c>
      <c r="G190" s="30" t="n">
        <v>30</v>
      </c>
      <c r="H190" s="30"/>
    </row>
    <row r="191" customFormat="false" ht="16.5" hidden="false" customHeight="true" outlineLevel="0" collapsed="false">
      <c r="A191" s="30" t="s">
        <v>989</v>
      </c>
      <c r="B191" s="30" t="s">
        <v>975</v>
      </c>
      <c r="C191" s="30" t="s">
        <v>1313</v>
      </c>
      <c r="D191" s="30" t="s">
        <v>643</v>
      </c>
      <c r="E191" s="30" t="n">
        <v>21</v>
      </c>
      <c r="F191" s="30" t="n">
        <v>22</v>
      </c>
      <c r="G191" s="30" t="n">
        <v>30</v>
      </c>
      <c r="H191" s="30"/>
    </row>
    <row r="192" customFormat="false" ht="16.5" hidden="false" customHeight="true" outlineLevel="0" collapsed="false">
      <c r="A192" s="30" t="s">
        <v>989</v>
      </c>
      <c r="B192" s="30" t="s">
        <v>975</v>
      </c>
      <c r="C192" s="30" t="s">
        <v>1313</v>
      </c>
      <c r="D192" s="30" t="s">
        <v>635</v>
      </c>
      <c r="E192" s="30" t="n">
        <v>21</v>
      </c>
      <c r="F192" s="30" t="n">
        <v>22</v>
      </c>
      <c r="G192" s="30" t="n">
        <v>30</v>
      </c>
      <c r="H192" s="30"/>
    </row>
    <row r="193" customFormat="false" ht="16.5" hidden="false" customHeight="true" outlineLevel="0" collapsed="false">
      <c r="A193" s="30" t="s">
        <v>989</v>
      </c>
      <c r="B193" s="30" t="s">
        <v>975</v>
      </c>
      <c r="C193" s="30" t="s">
        <v>1313</v>
      </c>
      <c r="D193" s="30" t="s">
        <v>637</v>
      </c>
      <c r="E193" s="30" t="n">
        <v>14</v>
      </c>
      <c r="F193" s="30" t="n">
        <v>22</v>
      </c>
      <c r="G193" s="30" t="n">
        <v>30</v>
      </c>
      <c r="H193" s="30"/>
    </row>
    <row r="194" customFormat="false" ht="16.5" hidden="false" customHeight="true" outlineLevel="0" collapsed="false">
      <c r="A194" s="30" t="s">
        <v>989</v>
      </c>
      <c r="B194" s="30" t="s">
        <v>975</v>
      </c>
      <c r="C194" s="30" t="s">
        <v>1319</v>
      </c>
      <c r="D194" s="30" t="s">
        <v>521</v>
      </c>
      <c r="E194" s="30" t="n">
        <v>75</v>
      </c>
      <c r="F194" s="30" t="n">
        <v>22</v>
      </c>
      <c r="G194" s="30" t="n">
        <v>30</v>
      </c>
      <c r="H194" s="30"/>
    </row>
    <row r="195" customFormat="false" ht="16.5" hidden="false" customHeight="true" outlineLevel="0" collapsed="false">
      <c r="A195" s="30" t="s">
        <v>989</v>
      </c>
      <c r="B195" s="30" t="s">
        <v>975</v>
      </c>
      <c r="C195" s="30" t="s">
        <v>1319</v>
      </c>
      <c r="D195" s="30" t="s">
        <v>523</v>
      </c>
      <c r="E195" s="30" t="n">
        <v>25</v>
      </c>
      <c r="F195" s="30" t="n">
        <v>22</v>
      </c>
      <c r="G195" s="30" t="n">
        <v>30</v>
      </c>
      <c r="H195" s="30"/>
    </row>
    <row r="196" customFormat="false" ht="16.5" hidden="false" customHeight="true" outlineLevel="0" collapsed="false">
      <c r="A196" s="30" t="s">
        <v>989</v>
      </c>
      <c r="B196" s="30" t="s">
        <v>975</v>
      </c>
      <c r="C196" s="30" t="s">
        <v>1314</v>
      </c>
      <c r="D196" s="30" t="s">
        <v>630</v>
      </c>
      <c r="E196" s="30" t="n">
        <v>100</v>
      </c>
      <c r="F196" s="30" t="n">
        <v>22</v>
      </c>
      <c r="G196" s="30" t="n">
        <v>30</v>
      </c>
      <c r="H196" s="30"/>
    </row>
    <row r="197" customFormat="false" ht="16.5" hidden="false" customHeight="true" outlineLevel="0" collapsed="false">
      <c r="A197" s="30" t="s">
        <v>991</v>
      </c>
      <c r="B197" s="30" t="s">
        <v>975</v>
      </c>
      <c r="C197" s="30" t="s">
        <v>1313</v>
      </c>
      <c r="D197" s="30" t="s">
        <v>663</v>
      </c>
      <c r="E197" s="30" t="n">
        <v>100</v>
      </c>
      <c r="F197" s="30" t="n">
        <v>22</v>
      </c>
      <c r="G197" s="30" t="n">
        <v>30</v>
      </c>
      <c r="H197" s="30"/>
    </row>
    <row r="198" customFormat="false" ht="16.5" hidden="false" customHeight="true" outlineLevel="0" collapsed="false">
      <c r="A198" s="30" t="s">
        <v>991</v>
      </c>
      <c r="B198" s="30" t="s">
        <v>975</v>
      </c>
      <c r="C198" s="30" t="s">
        <v>1315</v>
      </c>
      <c r="D198" s="30" t="s">
        <v>703</v>
      </c>
      <c r="E198" s="30"/>
      <c r="F198" s="30" t="n">
        <v>40</v>
      </c>
      <c r="G198" s="30" t="n">
        <v>40</v>
      </c>
      <c r="H198" s="30" t="s">
        <v>1316</v>
      </c>
    </row>
    <row r="199" customFormat="false" ht="16.5" hidden="false" customHeight="true" outlineLevel="0" collapsed="false">
      <c r="A199" s="30" t="s">
        <v>991</v>
      </c>
      <c r="B199" s="30" t="s">
        <v>975</v>
      </c>
      <c r="C199" s="30" t="s">
        <v>1314</v>
      </c>
      <c r="D199" s="30" t="s">
        <v>564</v>
      </c>
      <c r="E199" s="30" t="n">
        <v>60</v>
      </c>
      <c r="F199" s="30" t="n">
        <v>22</v>
      </c>
      <c r="G199" s="30" t="n">
        <v>30</v>
      </c>
      <c r="H199" s="30"/>
    </row>
    <row r="200" customFormat="false" ht="16.5" hidden="false" customHeight="true" outlineLevel="0" collapsed="false">
      <c r="A200" s="30" t="s">
        <v>991</v>
      </c>
      <c r="B200" s="30" t="s">
        <v>975</v>
      </c>
      <c r="C200" s="30" t="s">
        <v>1314</v>
      </c>
      <c r="D200" s="30" t="s">
        <v>569</v>
      </c>
      <c r="E200" s="30" t="n">
        <v>40</v>
      </c>
      <c r="F200" s="30" t="n">
        <v>22</v>
      </c>
      <c r="G200" s="30" t="n">
        <v>30</v>
      </c>
      <c r="H200" s="30"/>
    </row>
    <row r="201" customFormat="false" ht="16.5" hidden="false" customHeight="true" outlineLevel="0" collapsed="false">
      <c r="A201" s="30" t="s">
        <v>992</v>
      </c>
      <c r="B201" s="30" t="s">
        <v>975</v>
      </c>
      <c r="C201" s="30" t="s">
        <v>1313</v>
      </c>
      <c r="D201" s="30" t="s">
        <v>663</v>
      </c>
      <c r="E201" s="30" t="n">
        <v>100</v>
      </c>
      <c r="F201" s="30" t="n">
        <v>22</v>
      </c>
      <c r="G201" s="30" t="n">
        <v>30</v>
      </c>
      <c r="H201" s="30"/>
    </row>
    <row r="202" customFormat="false" ht="16.5" hidden="false" customHeight="true" outlineLevel="0" collapsed="false">
      <c r="A202" s="30" t="s">
        <v>418</v>
      </c>
      <c r="B202" s="30" t="s">
        <v>975</v>
      </c>
      <c r="C202" s="30" t="s">
        <v>1313</v>
      </c>
      <c r="D202" s="30" t="s">
        <v>706</v>
      </c>
      <c r="E202" s="30" t="n">
        <v>38</v>
      </c>
      <c r="F202" s="30" t="n">
        <v>22</v>
      </c>
      <c r="G202" s="30" t="n">
        <v>30</v>
      </c>
      <c r="H202" s="30"/>
    </row>
    <row r="203" customFormat="false" ht="16.5" hidden="false" customHeight="true" outlineLevel="0" collapsed="false">
      <c r="A203" s="30" t="s">
        <v>418</v>
      </c>
      <c r="B203" s="30" t="s">
        <v>975</v>
      </c>
      <c r="C203" s="30" t="s">
        <v>1313</v>
      </c>
      <c r="D203" s="30" t="s">
        <v>663</v>
      </c>
      <c r="E203" s="30" t="n">
        <v>37</v>
      </c>
      <c r="F203" s="30" t="n">
        <v>22</v>
      </c>
      <c r="G203" s="30" t="n">
        <v>30</v>
      </c>
      <c r="H203" s="30"/>
    </row>
    <row r="204" customFormat="false" ht="16.5" hidden="false" customHeight="true" outlineLevel="0" collapsed="false">
      <c r="A204" s="30" t="s">
        <v>418</v>
      </c>
      <c r="B204" s="30" t="s">
        <v>975</v>
      </c>
      <c r="C204" s="30" t="s">
        <v>1313</v>
      </c>
      <c r="D204" s="30" t="s">
        <v>711</v>
      </c>
      <c r="E204" s="30" t="n">
        <v>25</v>
      </c>
      <c r="F204" s="30" t="n">
        <v>22</v>
      </c>
      <c r="G204" s="30" t="n">
        <v>30</v>
      </c>
      <c r="H204" s="30"/>
    </row>
    <row r="205" customFormat="false" ht="16.5" hidden="false" customHeight="true" outlineLevel="0" collapsed="false">
      <c r="A205" s="30" t="s">
        <v>418</v>
      </c>
      <c r="B205" s="30" t="s">
        <v>975</v>
      </c>
      <c r="C205" s="30" t="s">
        <v>1314</v>
      </c>
      <c r="D205" s="30" t="s">
        <v>559</v>
      </c>
      <c r="E205" s="30" t="n">
        <v>7</v>
      </c>
      <c r="F205" s="30" t="n">
        <v>22</v>
      </c>
      <c r="G205" s="30" t="n">
        <v>30</v>
      </c>
      <c r="H205" s="30"/>
    </row>
    <row r="206" customFormat="false" ht="16.5" hidden="false" customHeight="true" outlineLevel="0" collapsed="false">
      <c r="A206" s="30" t="s">
        <v>418</v>
      </c>
      <c r="B206" s="30" t="s">
        <v>975</v>
      </c>
      <c r="C206" s="30" t="s">
        <v>1314</v>
      </c>
      <c r="D206" s="30" t="s">
        <v>622</v>
      </c>
      <c r="E206" s="30" t="n">
        <v>7</v>
      </c>
      <c r="F206" s="30" t="n">
        <v>22</v>
      </c>
      <c r="G206" s="30" t="n">
        <v>30</v>
      </c>
      <c r="H206" s="30"/>
    </row>
    <row r="207" customFormat="false" ht="16.5" hidden="false" customHeight="true" outlineLevel="0" collapsed="false">
      <c r="A207" s="30" t="s">
        <v>418</v>
      </c>
      <c r="B207" s="30" t="s">
        <v>975</v>
      </c>
      <c r="C207" s="30" t="s">
        <v>1314</v>
      </c>
      <c r="D207" s="30" t="s">
        <v>541</v>
      </c>
      <c r="E207" s="30" t="n">
        <v>7</v>
      </c>
      <c r="F207" s="30" t="n">
        <v>22</v>
      </c>
      <c r="G207" s="30" t="n">
        <v>30</v>
      </c>
      <c r="H207" s="30"/>
    </row>
    <row r="208" customFormat="false" ht="16.5" hidden="false" customHeight="true" outlineLevel="0" collapsed="false">
      <c r="A208" s="30" t="s">
        <v>418</v>
      </c>
      <c r="B208" s="30" t="s">
        <v>975</v>
      </c>
      <c r="C208" s="30" t="s">
        <v>1314</v>
      </c>
      <c r="D208" s="30" t="s">
        <v>415</v>
      </c>
      <c r="E208" s="30" t="n">
        <v>7</v>
      </c>
      <c r="F208" s="30" t="n">
        <v>22</v>
      </c>
      <c r="G208" s="30" t="n">
        <v>30</v>
      </c>
      <c r="H208" s="30"/>
    </row>
    <row r="209" customFormat="false" ht="16.5" hidden="false" customHeight="true" outlineLevel="0" collapsed="false">
      <c r="A209" s="30" t="s">
        <v>418</v>
      </c>
      <c r="B209" s="30" t="s">
        <v>975</v>
      </c>
      <c r="C209" s="30" t="s">
        <v>1314</v>
      </c>
      <c r="D209" s="30" t="s">
        <v>421</v>
      </c>
      <c r="E209" s="30" t="n">
        <v>7</v>
      </c>
      <c r="F209" s="30" t="n">
        <v>22</v>
      </c>
      <c r="G209" s="30" t="n">
        <v>30</v>
      </c>
      <c r="H209" s="30"/>
    </row>
    <row r="210" customFormat="false" ht="16.5" hidden="false" customHeight="true" outlineLevel="0" collapsed="false">
      <c r="A210" s="30" t="s">
        <v>418</v>
      </c>
      <c r="B210" s="30" t="s">
        <v>975</v>
      </c>
      <c r="C210" s="30" t="s">
        <v>1314</v>
      </c>
      <c r="D210" s="30" t="s">
        <v>471</v>
      </c>
      <c r="E210" s="30" t="n">
        <v>7</v>
      </c>
      <c r="F210" s="30" t="n">
        <v>22</v>
      </c>
      <c r="G210" s="30" t="n">
        <v>30</v>
      </c>
      <c r="H210" s="30"/>
    </row>
    <row r="211" customFormat="false" ht="16.5" hidden="false" customHeight="true" outlineLevel="0" collapsed="false">
      <c r="A211" s="30" t="s">
        <v>418</v>
      </c>
      <c r="B211" s="30" t="s">
        <v>975</v>
      </c>
      <c r="C211" s="30" t="s">
        <v>1314</v>
      </c>
      <c r="D211" s="30" t="s">
        <v>499</v>
      </c>
      <c r="E211" s="30" t="n">
        <v>7</v>
      </c>
      <c r="F211" s="30" t="n">
        <v>22</v>
      </c>
      <c r="G211" s="30" t="n">
        <v>30</v>
      </c>
      <c r="H211" s="30"/>
    </row>
    <row r="212" customFormat="false" ht="16.5" hidden="false" customHeight="true" outlineLevel="0" collapsed="false">
      <c r="A212" s="30" t="s">
        <v>418</v>
      </c>
      <c r="B212" s="30" t="s">
        <v>975</v>
      </c>
      <c r="C212" s="30" t="s">
        <v>1314</v>
      </c>
      <c r="D212" s="30" t="s">
        <v>599</v>
      </c>
      <c r="E212" s="30" t="n">
        <v>7</v>
      </c>
      <c r="F212" s="30" t="n">
        <v>22</v>
      </c>
      <c r="G212" s="30" t="n">
        <v>30</v>
      </c>
      <c r="H212" s="30"/>
    </row>
    <row r="213" customFormat="false" ht="16.5" hidden="false" customHeight="true" outlineLevel="0" collapsed="false">
      <c r="A213" s="30" t="s">
        <v>418</v>
      </c>
      <c r="B213" s="30" t="s">
        <v>975</v>
      </c>
      <c r="C213" s="30" t="s">
        <v>1314</v>
      </c>
      <c r="D213" s="30" t="s">
        <v>459</v>
      </c>
      <c r="E213" s="30" t="n">
        <v>7</v>
      </c>
      <c r="F213" s="30" t="n">
        <v>22</v>
      </c>
      <c r="G213" s="30" t="n">
        <v>30</v>
      </c>
      <c r="H213" s="30"/>
    </row>
    <row r="214" customFormat="false" ht="16.5" hidden="false" customHeight="true" outlineLevel="0" collapsed="false">
      <c r="A214" s="30" t="s">
        <v>418</v>
      </c>
      <c r="B214" s="30" t="s">
        <v>975</v>
      </c>
      <c r="C214" s="30" t="s">
        <v>1314</v>
      </c>
      <c r="D214" s="30" t="s">
        <v>417</v>
      </c>
      <c r="E214" s="30" t="n">
        <v>5</v>
      </c>
      <c r="F214" s="30" t="n">
        <v>22</v>
      </c>
      <c r="G214" s="30" t="n">
        <v>30</v>
      </c>
      <c r="H214" s="30"/>
    </row>
    <row r="215" customFormat="false" ht="16.5" hidden="false" customHeight="true" outlineLevel="0" collapsed="false">
      <c r="A215" s="30" t="s">
        <v>418</v>
      </c>
      <c r="B215" s="30" t="s">
        <v>975</v>
      </c>
      <c r="C215" s="30" t="s">
        <v>1314</v>
      </c>
      <c r="D215" s="30" t="s">
        <v>626</v>
      </c>
      <c r="E215" s="30" t="n">
        <v>5</v>
      </c>
      <c r="F215" s="30" t="n">
        <v>22</v>
      </c>
      <c r="G215" s="30" t="n">
        <v>30</v>
      </c>
      <c r="H215" s="30"/>
    </row>
    <row r="216" customFormat="false" ht="16.5" hidden="false" customHeight="true" outlineLevel="0" collapsed="false">
      <c r="A216" s="30" t="s">
        <v>418</v>
      </c>
      <c r="B216" s="30" t="s">
        <v>975</v>
      </c>
      <c r="C216" s="30" t="s">
        <v>1314</v>
      </c>
      <c r="D216" s="30" t="s">
        <v>614</v>
      </c>
      <c r="E216" s="30" t="n">
        <v>5</v>
      </c>
      <c r="F216" s="30" t="n">
        <v>22</v>
      </c>
      <c r="G216" s="30" t="n">
        <v>30</v>
      </c>
      <c r="H216" s="30"/>
    </row>
    <row r="217" customFormat="false" ht="16.5" hidden="false" customHeight="true" outlineLevel="0" collapsed="false">
      <c r="A217" s="30" t="s">
        <v>418</v>
      </c>
      <c r="B217" s="30" t="s">
        <v>975</v>
      </c>
      <c r="C217" s="30" t="s">
        <v>1314</v>
      </c>
      <c r="D217" s="30" t="s">
        <v>630</v>
      </c>
      <c r="E217" s="30" t="n">
        <v>5</v>
      </c>
      <c r="F217" s="30" t="n">
        <v>22</v>
      </c>
      <c r="G217" s="30" t="n">
        <v>30</v>
      </c>
      <c r="H217" s="30"/>
    </row>
    <row r="218" customFormat="false" ht="16.5" hidden="false" customHeight="true" outlineLevel="0" collapsed="false">
      <c r="A218" s="30" t="s">
        <v>418</v>
      </c>
      <c r="B218" s="30" t="s">
        <v>975</v>
      </c>
      <c r="C218" s="30" t="s">
        <v>1314</v>
      </c>
      <c r="D218" s="30" t="s">
        <v>422</v>
      </c>
      <c r="E218" s="30" t="n">
        <v>5</v>
      </c>
      <c r="F218" s="30" t="n">
        <v>22</v>
      </c>
      <c r="G218" s="30" t="n">
        <v>30</v>
      </c>
      <c r="H218" s="30"/>
    </row>
    <row r="219" customFormat="false" ht="16.5" hidden="false" customHeight="true" outlineLevel="0" collapsed="false">
      <c r="A219" s="30" t="s">
        <v>418</v>
      </c>
      <c r="B219" s="30" t="s">
        <v>975</v>
      </c>
      <c r="C219" s="30" t="s">
        <v>1314</v>
      </c>
      <c r="D219" s="30" t="s">
        <v>600</v>
      </c>
      <c r="E219" s="30" t="n">
        <v>3</v>
      </c>
      <c r="F219" s="30" t="n">
        <v>22</v>
      </c>
      <c r="G219" s="30" t="n">
        <v>30</v>
      </c>
      <c r="H219" s="30"/>
    </row>
    <row r="220" customFormat="false" ht="16.5" hidden="false" customHeight="true" outlineLevel="0" collapsed="false">
      <c r="A220" s="30" t="s">
        <v>418</v>
      </c>
      <c r="B220" s="30" t="s">
        <v>975</v>
      </c>
      <c r="C220" s="30" t="s">
        <v>1314</v>
      </c>
      <c r="D220" s="30" t="s">
        <v>661</v>
      </c>
      <c r="E220" s="30" t="n">
        <v>3</v>
      </c>
      <c r="F220" s="30" t="n">
        <v>22</v>
      </c>
      <c r="G220" s="30" t="n">
        <v>30</v>
      </c>
      <c r="H220" s="30"/>
    </row>
    <row r="221" customFormat="false" ht="16.5" hidden="false" customHeight="true" outlineLevel="0" collapsed="false">
      <c r="A221" s="30" t="s">
        <v>418</v>
      </c>
      <c r="B221" s="30" t="s">
        <v>975</v>
      </c>
      <c r="C221" s="30" t="s">
        <v>1314</v>
      </c>
      <c r="D221" s="30" t="s">
        <v>659</v>
      </c>
      <c r="E221" s="30" t="n">
        <v>2</v>
      </c>
      <c r="F221" s="30" t="n">
        <v>22</v>
      </c>
      <c r="G221" s="30" t="n">
        <v>30</v>
      </c>
      <c r="H221" s="30" t="s">
        <v>1317</v>
      </c>
    </row>
    <row r="222" customFormat="false" ht="16.5" hidden="false" customHeight="true" outlineLevel="0" collapsed="false">
      <c r="A222" s="30" t="s">
        <v>418</v>
      </c>
      <c r="B222" s="30" t="s">
        <v>975</v>
      </c>
      <c r="C222" s="30" t="s">
        <v>1314</v>
      </c>
      <c r="D222" s="30" t="s">
        <v>646</v>
      </c>
      <c r="E222" s="30" t="n">
        <v>2</v>
      </c>
      <c r="F222" s="30" t="n">
        <v>22</v>
      </c>
      <c r="G222" s="30" t="n">
        <v>30</v>
      </c>
      <c r="H222" s="30" t="s">
        <v>1318</v>
      </c>
    </row>
    <row r="223" customFormat="false" ht="16.5" hidden="false" customHeight="true" outlineLevel="0" collapsed="false">
      <c r="A223" s="30" t="s">
        <v>418</v>
      </c>
      <c r="B223" s="30" t="s">
        <v>975</v>
      </c>
      <c r="C223" s="30" t="s">
        <v>1314</v>
      </c>
      <c r="D223" s="30" t="s">
        <v>634</v>
      </c>
      <c r="E223" s="30" t="n">
        <v>2</v>
      </c>
      <c r="F223" s="30" t="n">
        <v>22</v>
      </c>
      <c r="G223" s="30" t="n">
        <v>30</v>
      </c>
      <c r="H223" s="30"/>
    </row>
    <row r="224" customFormat="false" ht="16.5" hidden="false" customHeight="true" outlineLevel="0" collapsed="false">
      <c r="A224" s="30" t="s">
        <v>995</v>
      </c>
      <c r="B224" s="30" t="s">
        <v>975</v>
      </c>
      <c r="C224" s="30" t="s">
        <v>1314</v>
      </c>
      <c r="D224" s="30" t="s">
        <v>574</v>
      </c>
      <c r="E224" s="30" t="n">
        <v>20</v>
      </c>
      <c r="F224" s="30" t="n">
        <v>26</v>
      </c>
      <c r="G224" s="30" t="n">
        <v>32</v>
      </c>
      <c r="H224" s="30"/>
    </row>
    <row r="225" customFormat="false" ht="16.5" hidden="false" customHeight="true" outlineLevel="0" collapsed="false">
      <c r="A225" s="30" t="s">
        <v>995</v>
      </c>
      <c r="B225" s="30" t="s">
        <v>975</v>
      </c>
      <c r="C225" s="30" t="s">
        <v>1314</v>
      </c>
      <c r="D225" s="30" t="s">
        <v>601</v>
      </c>
      <c r="E225" s="30" t="n">
        <v>20</v>
      </c>
      <c r="F225" s="30" t="n">
        <v>26</v>
      </c>
      <c r="G225" s="30" t="n">
        <v>32</v>
      </c>
      <c r="H225" s="30"/>
    </row>
    <row r="226" customFormat="false" ht="16.5" hidden="false" customHeight="true" outlineLevel="0" collapsed="false">
      <c r="A226" s="30" t="s">
        <v>995</v>
      </c>
      <c r="B226" s="30" t="s">
        <v>975</v>
      </c>
      <c r="C226" s="30" t="s">
        <v>1314</v>
      </c>
      <c r="D226" s="30" t="s">
        <v>674</v>
      </c>
      <c r="E226" s="30" t="n">
        <v>20</v>
      </c>
      <c r="F226" s="30" t="n">
        <v>26</v>
      </c>
      <c r="G226" s="30" t="n">
        <v>32</v>
      </c>
      <c r="H226" s="30"/>
    </row>
    <row r="227" customFormat="false" ht="16.5" hidden="false" customHeight="true" outlineLevel="0" collapsed="false">
      <c r="A227" s="30" t="s">
        <v>995</v>
      </c>
      <c r="B227" s="30" t="s">
        <v>975</v>
      </c>
      <c r="C227" s="30" t="s">
        <v>1314</v>
      </c>
      <c r="D227" s="30" t="s">
        <v>667</v>
      </c>
      <c r="E227" s="30" t="n">
        <v>20</v>
      </c>
      <c r="F227" s="30" t="n">
        <v>26</v>
      </c>
      <c r="G227" s="30" t="n">
        <v>32</v>
      </c>
      <c r="H227" s="30"/>
    </row>
    <row r="228" customFormat="false" ht="16.5" hidden="false" customHeight="true" outlineLevel="0" collapsed="false">
      <c r="A228" s="30" t="s">
        <v>995</v>
      </c>
      <c r="B228" s="30" t="s">
        <v>975</v>
      </c>
      <c r="C228" s="30" t="s">
        <v>1314</v>
      </c>
      <c r="D228" s="30" t="s">
        <v>656</v>
      </c>
      <c r="E228" s="30" t="n">
        <v>7</v>
      </c>
      <c r="F228" s="30" t="n">
        <v>26</v>
      </c>
      <c r="G228" s="30" t="n">
        <v>32</v>
      </c>
      <c r="H228" s="30" t="s">
        <v>1317</v>
      </c>
    </row>
    <row r="229" customFormat="false" ht="16.5" hidden="false" customHeight="true" outlineLevel="0" collapsed="false">
      <c r="A229" s="30" t="s">
        <v>995</v>
      </c>
      <c r="B229" s="30" t="s">
        <v>975</v>
      </c>
      <c r="C229" s="30" t="s">
        <v>1314</v>
      </c>
      <c r="D229" s="30" t="s">
        <v>620</v>
      </c>
      <c r="E229" s="30" t="n">
        <v>7</v>
      </c>
      <c r="F229" s="30" t="n">
        <v>26</v>
      </c>
      <c r="G229" s="30" t="n">
        <v>32</v>
      </c>
      <c r="H229" s="30"/>
    </row>
    <row r="230" customFormat="false" ht="16.5" hidden="false" customHeight="true" outlineLevel="0" collapsed="false">
      <c r="A230" s="30" t="s">
        <v>995</v>
      </c>
      <c r="B230" s="30" t="s">
        <v>975</v>
      </c>
      <c r="C230" s="30" t="s">
        <v>1314</v>
      </c>
      <c r="D230" s="30" t="s">
        <v>576</v>
      </c>
      <c r="E230" s="30" t="n">
        <v>6</v>
      </c>
      <c r="F230" s="30" t="n">
        <v>26</v>
      </c>
      <c r="G230" s="30" t="n">
        <v>32</v>
      </c>
      <c r="H230" s="30"/>
    </row>
    <row r="231" customFormat="false" ht="15" hidden="false" customHeight="true" outlineLevel="0" collapsed="false">
      <c r="A231" s="30" t="s">
        <v>754</v>
      </c>
      <c r="B231" s="30" t="s">
        <v>996</v>
      </c>
      <c r="C231" s="30" t="s">
        <v>1314</v>
      </c>
      <c r="D231" s="30" t="s">
        <v>753</v>
      </c>
      <c r="E231" s="30" t="n">
        <v>28</v>
      </c>
      <c r="F231" s="30" t="n">
        <v>25</v>
      </c>
      <c r="G231" s="30" t="n">
        <v>35</v>
      </c>
      <c r="H231" s="30"/>
    </row>
    <row r="232" customFormat="false" ht="15" hidden="false" customHeight="true" outlineLevel="0" collapsed="false">
      <c r="A232" s="30" t="s">
        <v>754</v>
      </c>
      <c r="B232" s="30" t="s">
        <v>996</v>
      </c>
      <c r="C232" s="30" t="s">
        <v>1314</v>
      </c>
      <c r="D232" s="30" t="s">
        <v>816</v>
      </c>
      <c r="E232" s="30" t="n">
        <v>27</v>
      </c>
      <c r="F232" s="30" t="n">
        <v>25</v>
      </c>
      <c r="G232" s="30" t="n">
        <v>35</v>
      </c>
      <c r="H232" s="30"/>
    </row>
    <row r="233" customFormat="false" ht="15" hidden="false" customHeight="true" outlineLevel="0" collapsed="false">
      <c r="A233" s="30" t="s">
        <v>754</v>
      </c>
      <c r="B233" s="30" t="s">
        <v>996</v>
      </c>
      <c r="C233" s="30" t="s">
        <v>1314</v>
      </c>
      <c r="D233" s="30" t="s">
        <v>841</v>
      </c>
      <c r="E233" s="30" t="n">
        <v>27</v>
      </c>
      <c r="F233" s="30" t="n">
        <v>25</v>
      </c>
      <c r="G233" s="30" t="n">
        <v>35</v>
      </c>
      <c r="H233" s="30"/>
    </row>
    <row r="234" customFormat="false" ht="15" hidden="false" customHeight="true" outlineLevel="0" collapsed="false">
      <c r="A234" s="30" t="s">
        <v>754</v>
      </c>
      <c r="B234" s="30" t="s">
        <v>996</v>
      </c>
      <c r="C234" s="30" t="s">
        <v>1314</v>
      </c>
      <c r="D234" s="30" t="s">
        <v>806</v>
      </c>
      <c r="E234" s="30" t="n">
        <v>18</v>
      </c>
      <c r="F234" s="30" t="n">
        <v>25</v>
      </c>
      <c r="G234" s="30" t="n">
        <v>35</v>
      </c>
      <c r="H234" s="30"/>
    </row>
    <row r="235" customFormat="false" ht="15" hidden="false" customHeight="true" outlineLevel="0" collapsed="false">
      <c r="A235" s="30" t="s">
        <v>797</v>
      </c>
      <c r="B235" s="30" t="s">
        <v>996</v>
      </c>
      <c r="C235" s="30" t="s">
        <v>1314</v>
      </c>
      <c r="D235" s="30" t="s">
        <v>808</v>
      </c>
      <c r="E235" s="30" t="n">
        <v>34</v>
      </c>
      <c r="F235" s="30" t="n">
        <v>25</v>
      </c>
      <c r="G235" s="30" t="n">
        <v>35</v>
      </c>
      <c r="H235" s="30"/>
    </row>
    <row r="236" customFormat="false" ht="15" hidden="false" customHeight="true" outlineLevel="0" collapsed="false">
      <c r="A236" s="30" t="s">
        <v>797</v>
      </c>
      <c r="B236" s="30" t="s">
        <v>996</v>
      </c>
      <c r="C236" s="30" t="s">
        <v>1314</v>
      </c>
      <c r="D236" s="30" t="s">
        <v>843</v>
      </c>
      <c r="E236" s="30" t="n">
        <v>22</v>
      </c>
      <c r="F236" s="30" t="n">
        <v>25</v>
      </c>
      <c r="G236" s="30" t="n">
        <v>35</v>
      </c>
      <c r="H236" s="30"/>
    </row>
    <row r="237" customFormat="false" ht="15" hidden="false" customHeight="true" outlineLevel="0" collapsed="false">
      <c r="A237" s="30" t="s">
        <v>797</v>
      </c>
      <c r="B237" s="30" t="s">
        <v>996</v>
      </c>
      <c r="C237" s="30" t="s">
        <v>1314</v>
      </c>
      <c r="D237" s="30" t="s">
        <v>829</v>
      </c>
      <c r="E237" s="30" t="n">
        <v>22</v>
      </c>
      <c r="F237" s="30" t="n">
        <v>25</v>
      </c>
      <c r="G237" s="30" t="n">
        <v>35</v>
      </c>
      <c r="H237" s="30"/>
    </row>
    <row r="238" customFormat="false" ht="15" hidden="false" customHeight="true" outlineLevel="0" collapsed="false">
      <c r="A238" s="30" t="s">
        <v>797</v>
      </c>
      <c r="B238" s="30" t="s">
        <v>996</v>
      </c>
      <c r="C238" s="30" t="s">
        <v>1314</v>
      </c>
      <c r="D238" s="30" t="s">
        <v>796</v>
      </c>
      <c r="E238" s="30" t="n">
        <v>22</v>
      </c>
      <c r="F238" s="30" t="n">
        <v>25</v>
      </c>
      <c r="G238" s="30" t="n">
        <v>35</v>
      </c>
      <c r="H238" s="30"/>
    </row>
    <row r="239" customFormat="false" ht="15" hidden="false" customHeight="true" outlineLevel="0" collapsed="false">
      <c r="A239" s="30" t="s">
        <v>813</v>
      </c>
      <c r="B239" s="30" t="s">
        <v>996</v>
      </c>
      <c r="C239" s="30" t="s">
        <v>1314</v>
      </c>
      <c r="D239" s="30" t="s">
        <v>760</v>
      </c>
      <c r="E239" s="30" t="n">
        <v>43</v>
      </c>
      <c r="F239" s="30" t="n">
        <v>25</v>
      </c>
      <c r="G239" s="30" t="n">
        <v>35</v>
      </c>
      <c r="H239" s="30"/>
    </row>
    <row r="240" customFormat="false" ht="15" hidden="false" customHeight="true" outlineLevel="0" collapsed="false">
      <c r="A240" s="30" t="s">
        <v>813</v>
      </c>
      <c r="B240" s="30" t="s">
        <v>996</v>
      </c>
      <c r="C240" s="30" t="s">
        <v>1314</v>
      </c>
      <c r="D240" s="30" t="s">
        <v>812</v>
      </c>
      <c r="E240" s="30" t="n">
        <v>43</v>
      </c>
      <c r="F240" s="30" t="n">
        <v>25</v>
      </c>
      <c r="G240" s="30" t="n">
        <v>35</v>
      </c>
      <c r="H240" s="30"/>
    </row>
    <row r="241" customFormat="false" ht="15" hidden="false" customHeight="true" outlineLevel="0" collapsed="false">
      <c r="A241" s="30" t="s">
        <v>813</v>
      </c>
      <c r="B241" s="30" t="s">
        <v>996</v>
      </c>
      <c r="C241" s="30" t="s">
        <v>1314</v>
      </c>
      <c r="D241" s="30" t="s">
        <v>838</v>
      </c>
      <c r="E241" s="30" t="n">
        <v>14</v>
      </c>
      <c r="F241" s="30" t="n">
        <v>25</v>
      </c>
      <c r="G241" s="30" t="n">
        <v>35</v>
      </c>
      <c r="H241" s="30"/>
    </row>
    <row r="242" customFormat="false" ht="16.5" hidden="false" customHeight="true" outlineLevel="0" collapsed="false">
      <c r="A242" s="30" t="s">
        <v>787</v>
      </c>
      <c r="B242" s="30" t="s">
        <v>996</v>
      </c>
      <c r="C242" s="30" t="s">
        <v>1320</v>
      </c>
      <c r="D242" s="30" t="s">
        <v>785</v>
      </c>
      <c r="E242" s="30"/>
      <c r="F242" s="30" t="n">
        <v>45</v>
      </c>
      <c r="G242" s="30" t="n">
        <v>45</v>
      </c>
      <c r="H242" s="30"/>
    </row>
    <row r="243" customFormat="false" ht="16.5" hidden="false" customHeight="true" outlineLevel="0" collapsed="false">
      <c r="A243" s="30" t="s">
        <v>790</v>
      </c>
      <c r="B243" s="30" t="s">
        <v>996</v>
      </c>
      <c r="C243" s="30" t="s">
        <v>1320</v>
      </c>
      <c r="D243" s="30" t="s">
        <v>788</v>
      </c>
      <c r="E243" s="30"/>
      <c r="F243" s="30" t="n">
        <v>45</v>
      </c>
      <c r="G243" s="30" t="n">
        <v>45</v>
      </c>
      <c r="H243" s="30"/>
    </row>
    <row r="244" customFormat="false" ht="15" hidden="false" customHeight="true" outlineLevel="0" collapsed="false">
      <c r="A244" s="30" t="s">
        <v>999</v>
      </c>
      <c r="B244" s="30" t="s">
        <v>996</v>
      </c>
      <c r="C244" s="30" t="s">
        <v>1320</v>
      </c>
      <c r="D244" s="30" t="s">
        <v>720</v>
      </c>
      <c r="E244" s="30"/>
      <c r="F244" s="30" t="n">
        <v>40</v>
      </c>
      <c r="G244" s="30" t="n">
        <v>40</v>
      </c>
      <c r="H244" s="30"/>
    </row>
    <row r="245" customFormat="false" ht="15" hidden="false" customHeight="true" outlineLevel="0" collapsed="false">
      <c r="A245" s="30" t="s">
        <v>999</v>
      </c>
      <c r="B245" s="30" t="s">
        <v>996</v>
      </c>
      <c r="C245" s="30" t="s">
        <v>1320</v>
      </c>
      <c r="D245" s="30" t="s">
        <v>722</v>
      </c>
      <c r="E245" s="30"/>
      <c r="F245" s="30" t="n">
        <v>40</v>
      </c>
      <c r="G245" s="30" t="n">
        <v>40</v>
      </c>
      <c r="H245" s="30"/>
    </row>
  </sheetData>
  <autoFilter ref="A1:H2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2026-09-22T04:06:43Z</dcterms:created>
  <dc:creator>openpyxl</dc:creator>
  <dc:description/>
  <dc:language>en-US</dc:language>
  <cp:lastModifiedBy>KOTARO FUJIMURA (藤村 晃太郎)</cp:lastModifiedBy>
  <dcterms:modified xsi:type="dcterms:W3CDTF">2026-10-11T07:06:13Z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